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417" documentId="8_{86EF6B0B-2AD4-4265-805F-D9CEE2A78176}" xr6:coauthVersionLast="46" xr6:coauthVersionMax="46" xr10:uidLastSave="{42607196-6C14-4F89-A777-A22E017515CA}"/>
  <bookViews>
    <workbookView xWindow="-110" yWindow="-110" windowWidth="19420" windowHeight="10420" activeTab="3" xr2:uid="{12817C51-317D-4BB0-844B-D606127C5E02}"/>
  </bookViews>
  <sheets>
    <sheet name="Example" sheetId="17" r:id="rId1"/>
    <sheet name="DataEntry_codes_" sheetId="45" state="hidden" r:id="rId2"/>
    <sheet name="DataEntry" sheetId="41" r:id="rId3"/>
    <sheet name="DataDictionary" sheetId="1" r:id="rId4"/>
    <sheet name="FAQ" sheetId="23"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0" i="41" l="1"/>
  <c r="C110" i="41"/>
  <c r="E110" i="41"/>
  <c r="G110" i="41"/>
  <c r="G2" i="41"/>
  <c r="G3" i="41"/>
  <c r="G4" i="41"/>
  <c r="G5" i="41"/>
  <c r="G6" i="41"/>
  <c r="G7" i="41"/>
  <c r="G8" i="41"/>
  <c r="G9" i="41"/>
  <c r="G10" i="41"/>
  <c r="G11" i="41"/>
  <c r="G12" i="41"/>
  <c r="G13" i="41"/>
  <c r="G14" i="41"/>
  <c r="G15" i="41"/>
  <c r="G16" i="41"/>
  <c r="G17" i="41"/>
  <c r="G18" i="41"/>
  <c r="G19" i="41"/>
  <c r="G20" i="41"/>
  <c r="G21" i="41"/>
  <c r="G22" i="41"/>
  <c r="G23" i="41"/>
  <c r="G24" i="41"/>
  <c r="G25" i="41"/>
  <c r="G26" i="41"/>
  <c r="G27" i="41"/>
  <c r="G28"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82" i="41"/>
  <c r="G83" i="41"/>
  <c r="G84" i="41"/>
  <c r="G85" i="41"/>
  <c r="G86" i="41"/>
  <c r="G87" i="41"/>
  <c r="G88" i="41"/>
  <c r="G89" i="41"/>
  <c r="G90" i="41"/>
  <c r="G91" i="41"/>
  <c r="G92" i="41"/>
  <c r="G93" i="41"/>
  <c r="G94" i="41"/>
  <c r="G95" i="41"/>
  <c r="G96" i="41"/>
  <c r="G97" i="41"/>
  <c r="G98" i="41"/>
  <c r="G99" i="41"/>
  <c r="G100" i="41"/>
  <c r="G101" i="41"/>
  <c r="G102" i="41"/>
  <c r="G103" i="41"/>
  <c r="G104" i="41"/>
  <c r="G105" i="41"/>
  <c r="G106" i="41"/>
  <c r="G107" i="41"/>
  <c r="G108" i="41"/>
  <c r="G109" i="41"/>
  <c r="E2" i="41"/>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D2" i="41"/>
  <c r="C2" i="41"/>
  <c r="D3" i="41" s="1"/>
  <c r="C3" i="41"/>
  <c r="D4" i="41" s="1"/>
  <c r="C4" i="41"/>
  <c r="D5" i="41" s="1"/>
  <c r="C5" i="41"/>
  <c r="D6" i="41" s="1"/>
  <c r="C6" i="41"/>
  <c r="D7" i="41" s="1"/>
  <c r="C7" i="41"/>
  <c r="D8" i="41" s="1"/>
  <c r="C8" i="41"/>
  <c r="D9" i="41" s="1"/>
  <c r="C9" i="41"/>
  <c r="D10" i="41" s="1"/>
  <c r="C10" i="41"/>
  <c r="D11" i="41" s="1"/>
  <c r="C11" i="41"/>
  <c r="D12" i="41" s="1"/>
  <c r="C12" i="41"/>
  <c r="D13" i="41" s="1"/>
  <c r="C13" i="41"/>
  <c r="D14" i="41" s="1"/>
  <c r="C14" i="41"/>
  <c r="D15" i="41" s="1"/>
  <c r="C15" i="41"/>
  <c r="D16" i="41" s="1"/>
  <c r="C16" i="41"/>
  <c r="D17" i="41" s="1"/>
  <c r="C17" i="41"/>
  <c r="D18" i="41" s="1"/>
  <c r="C18" i="41"/>
  <c r="D19" i="41" s="1"/>
  <c r="C19" i="41"/>
  <c r="D20" i="41" s="1"/>
  <c r="C20" i="41"/>
  <c r="D21" i="41" s="1"/>
  <c r="C21" i="41"/>
  <c r="D22" i="41" s="1"/>
  <c r="C22" i="41"/>
  <c r="D23" i="41" s="1"/>
  <c r="C23" i="41"/>
  <c r="D24" i="41" s="1"/>
  <c r="C24" i="41"/>
  <c r="D25" i="41" s="1"/>
  <c r="C25" i="41"/>
  <c r="D26" i="41" s="1"/>
  <c r="C26" i="41"/>
  <c r="D27" i="41" s="1"/>
  <c r="C27" i="41"/>
  <c r="D28" i="41" s="1"/>
  <c r="C28" i="41"/>
  <c r="D29" i="41" s="1"/>
  <c r="C29" i="41"/>
  <c r="D30" i="41" s="1"/>
  <c r="C30" i="41"/>
  <c r="D31" i="41" s="1"/>
  <c r="C31" i="41"/>
  <c r="D32" i="41" s="1"/>
  <c r="C32" i="41"/>
  <c r="D33" i="41" s="1"/>
  <c r="C33" i="41"/>
  <c r="D34" i="41" s="1"/>
  <c r="C34" i="41"/>
  <c r="D35" i="41" s="1"/>
  <c r="C35" i="41"/>
  <c r="D36" i="41" s="1"/>
  <c r="C36" i="41"/>
  <c r="D37" i="41" s="1"/>
  <c r="C37" i="41"/>
  <c r="D38" i="41" s="1"/>
  <c r="C38" i="41"/>
  <c r="D39" i="41" s="1"/>
  <c r="C39" i="41"/>
  <c r="D40" i="41" s="1"/>
  <c r="C40" i="41"/>
  <c r="D41" i="41" s="1"/>
  <c r="C41" i="41"/>
  <c r="D42" i="41" s="1"/>
  <c r="C42" i="41"/>
  <c r="D43" i="41" s="1"/>
  <c r="C43" i="41"/>
  <c r="D44" i="41" s="1"/>
  <c r="C44" i="41"/>
  <c r="D45" i="41" s="1"/>
  <c r="C45" i="41"/>
  <c r="D46" i="41" s="1"/>
  <c r="C46" i="41"/>
  <c r="D47" i="41" s="1"/>
  <c r="C47" i="41"/>
  <c r="D48" i="41" s="1"/>
  <c r="C48" i="41"/>
  <c r="D49" i="41" s="1"/>
  <c r="C49" i="41"/>
  <c r="D50" i="41" s="1"/>
  <c r="C50" i="41"/>
  <c r="D51" i="41" s="1"/>
  <c r="C51" i="41"/>
  <c r="D52" i="41" s="1"/>
  <c r="C52" i="41"/>
  <c r="D53" i="41" s="1"/>
  <c r="C53" i="41"/>
  <c r="D54" i="41" s="1"/>
  <c r="C54" i="41"/>
  <c r="D55" i="41" s="1"/>
  <c r="C55" i="41"/>
  <c r="D56" i="41" s="1"/>
  <c r="C56" i="41"/>
  <c r="D57" i="41" s="1"/>
  <c r="C57" i="41"/>
  <c r="D58" i="41" s="1"/>
  <c r="C58" i="41"/>
  <c r="D59" i="41" s="1"/>
  <c r="C59" i="41"/>
  <c r="D60" i="41" s="1"/>
  <c r="C60" i="41"/>
  <c r="D61" i="41" s="1"/>
  <c r="C61" i="41"/>
  <c r="D62" i="41" s="1"/>
  <c r="C62" i="41"/>
  <c r="D63" i="41" s="1"/>
  <c r="C63" i="41"/>
  <c r="D64" i="41" s="1"/>
  <c r="C64" i="41"/>
  <c r="D65" i="41" s="1"/>
  <c r="C65" i="41"/>
  <c r="D66" i="41" s="1"/>
  <c r="C66" i="41"/>
  <c r="D67" i="41" s="1"/>
  <c r="C67" i="41"/>
  <c r="D68" i="41" s="1"/>
  <c r="C68" i="41"/>
  <c r="D69" i="41" s="1"/>
  <c r="C69" i="41"/>
  <c r="D70" i="41" s="1"/>
  <c r="C70" i="41"/>
  <c r="D71" i="41" s="1"/>
  <c r="C71" i="41"/>
  <c r="D72" i="41" s="1"/>
  <c r="C72" i="41"/>
  <c r="D73" i="41" s="1"/>
  <c r="C73" i="41"/>
  <c r="D74" i="41" s="1"/>
  <c r="C74" i="41"/>
  <c r="D75" i="41" s="1"/>
  <c r="C75" i="41"/>
  <c r="D76" i="41" s="1"/>
  <c r="C76" i="41"/>
  <c r="D77" i="41" s="1"/>
  <c r="C77" i="41"/>
  <c r="D78" i="41" s="1"/>
  <c r="C78" i="41"/>
  <c r="D79" i="41" s="1"/>
  <c r="C79" i="41"/>
  <c r="D80" i="41" s="1"/>
  <c r="C80" i="41"/>
  <c r="D81" i="41" s="1"/>
  <c r="C81" i="41"/>
  <c r="D82" i="41" s="1"/>
  <c r="C82" i="41"/>
  <c r="D83" i="41" s="1"/>
  <c r="C83" i="41"/>
  <c r="D84" i="41" s="1"/>
  <c r="C84" i="41"/>
  <c r="D85" i="41" s="1"/>
  <c r="C85" i="41"/>
  <c r="D86" i="41" s="1"/>
  <c r="C86" i="41"/>
  <c r="D87" i="41" s="1"/>
  <c r="C87" i="41"/>
  <c r="D88" i="41" s="1"/>
  <c r="C88" i="41"/>
  <c r="D89" i="41" s="1"/>
  <c r="C89" i="41"/>
  <c r="D90" i="41" s="1"/>
  <c r="C90" i="41"/>
  <c r="D91" i="41" s="1"/>
  <c r="C91" i="41"/>
  <c r="D92" i="41" s="1"/>
  <c r="C92" i="41"/>
  <c r="D93" i="41" s="1"/>
  <c r="C93" i="41"/>
  <c r="D94" i="41" s="1"/>
  <c r="C94" i="41"/>
  <c r="D95" i="41" s="1"/>
  <c r="C95" i="41"/>
  <c r="D96" i="41" s="1"/>
  <c r="C96" i="41"/>
  <c r="D97" i="41" s="1"/>
  <c r="C97" i="41"/>
  <c r="D98" i="41" s="1"/>
  <c r="C98" i="41"/>
  <c r="D99" i="41" s="1"/>
  <c r="C99" i="41"/>
  <c r="D100" i="41" s="1"/>
  <c r="C100" i="41"/>
  <c r="D101" i="41" s="1"/>
  <c r="C101" i="41"/>
  <c r="D102" i="41" s="1"/>
  <c r="C102" i="41"/>
  <c r="D103" i="41" s="1"/>
  <c r="C103" i="41"/>
  <c r="D104" i="41" s="1"/>
  <c r="C104" i="41"/>
  <c r="D105" i="41" s="1"/>
  <c r="C105" i="41"/>
  <c r="D106" i="41" s="1"/>
  <c r="C106" i="41"/>
  <c r="D107" i="41" s="1"/>
  <c r="C107" i="41"/>
  <c r="D108" i="41" s="1"/>
  <c r="C108" i="41"/>
  <c r="D109" i="41" s="1"/>
  <c r="C109" i="41"/>
  <c r="D110" i="41" s="1"/>
  <c r="B2" i="41"/>
  <c r="B3" i="41"/>
  <c r="B4" i="41"/>
  <c r="B5" i="41"/>
  <c r="B6" i="41"/>
  <c r="B7" i="41"/>
  <c r="B8" i="41"/>
  <c r="B9" i="41"/>
  <c r="B10" i="41"/>
  <c r="B11" i="41"/>
  <c r="B12" i="41"/>
  <c r="B13" i="41"/>
  <c r="B14" i="41"/>
  <c r="B15" i="41"/>
  <c r="B16" i="41"/>
  <c r="B17" i="41"/>
  <c r="B18" i="41"/>
  <c r="B19" i="41"/>
  <c r="B20" i="41"/>
  <c r="B21" i="41"/>
  <c r="B22" i="41"/>
  <c r="B23" i="41"/>
  <c r="B24" i="41"/>
  <c r="B25" i="41"/>
  <c r="B26" i="41"/>
  <c r="B27" i="41"/>
  <c r="B28" i="41"/>
  <c r="B29" i="41"/>
  <c r="B30" i="41"/>
  <c r="B31" i="41"/>
  <c r="B32" i="41"/>
  <c r="B33" i="41"/>
  <c r="B34" i="41"/>
  <c r="B35" i="41"/>
  <c r="B36" i="41"/>
  <c r="B37" i="41"/>
  <c r="B38" i="41"/>
  <c r="B39" i="41"/>
  <c r="B40" i="41"/>
  <c r="B41" i="41"/>
  <c r="B42" i="41"/>
  <c r="B43" i="41"/>
  <c r="B44" i="41"/>
  <c r="B45" i="41"/>
  <c r="B46" i="41"/>
  <c r="B47" i="41"/>
  <c r="B48" i="41"/>
  <c r="B49" i="41"/>
  <c r="B50" i="41"/>
  <c r="B51" i="41"/>
  <c r="B52" i="41"/>
  <c r="B53" i="41"/>
  <c r="B54" i="41"/>
  <c r="B55" i="41"/>
  <c r="B56" i="41"/>
  <c r="B57" i="41"/>
  <c r="B58" i="41"/>
  <c r="B59" i="41"/>
  <c r="B60" i="41"/>
  <c r="B61" i="41"/>
  <c r="B62" i="41"/>
  <c r="B63" i="41"/>
  <c r="B64" i="41"/>
  <c r="B65" i="41"/>
  <c r="B66" i="41"/>
  <c r="B67" i="41"/>
  <c r="B68" i="41"/>
  <c r="B69" i="41"/>
  <c r="B70" i="41"/>
  <c r="B71" i="41"/>
  <c r="B72" i="41"/>
  <c r="B73" i="41"/>
  <c r="B74" i="41"/>
  <c r="B75" i="41"/>
  <c r="B76" i="41"/>
  <c r="B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alcChain>
</file>

<file path=xl/sharedStrings.xml><?xml version="1.0" encoding="utf-8"?>
<sst xmlns="http://schemas.openxmlformats.org/spreadsheetml/2006/main" count="273" uniqueCount="90">
  <si>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</si>
  <si>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</si>
  <si>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</si>
  <si>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</si>
  <si>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</si>
  <si>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</si>
  <si>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</si>
  <si>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</si>
  <si>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</si>
  <si>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</si>
  <si>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</si>
  <si>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</si>
  <si>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</si>
  <si>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</si>
  <si>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</si>
  <si>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</si>
  <si>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</si>
  <si>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</si>
  <si>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</si>
  <si>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</si>
  <si>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</si>
  <si>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</si>
  <si>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</si>
  <si>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</si>
  <si>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OS</t>
  </si>
  <si>
    <t>Date_Death</t>
  </si>
  <si>
    <t>Date of death</t>
  </si>
  <si>
    <t>overall survival. Weeks from diagnosis to death or last follow-up</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</si>
  <si>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</si>
  <si>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</si>
  <si>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</si>
  <si>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</si>
  <si>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</si>
  <si>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</si>
  <si>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</si>
  <si>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</si>
  <si>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</si>
  <si>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</si>
  <si>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</si>
  <si>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</si>
  <si>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</si>
  <si>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</si>
  <si>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</si>
  <si>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</si>
  <si>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</si>
  <si>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</si>
  <si>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</si>
  <si>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</si>
  <si>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</si>
  <si>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</si>
  <si>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</si>
  <si>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</si>
  <si>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</si>
  <si>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</si>
  <si>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</si>
  <si>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</si>
  <si>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</si>
  <si>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</si>
  <si>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</si>
  <si>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</si>
  <si>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</si>
  <si>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</si>
  <si>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</si>
  <si>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 xml:space="preserve">A variable that should be calculated from other variables (i.e. overall survival, age category). See Calculations below </t>
  </si>
  <si>
    <t>Calculations</t>
  </si>
  <si>
    <t>survival</t>
  </si>
  <si>
    <t>recoding</t>
  </si>
  <si>
    <t>Dichotomoised T-Staging</t>
  </si>
  <si>
    <t>T0_Stg</t>
  </si>
  <si>
    <t>T_Stage,T0=T0,T1up=T1,T2,T3,T4</t>
  </si>
  <si>
    <t>For survival variables a start date, event date and last date must be specified. Two variables will be created, a status variable that indicates if the event was observed (if the event date is non-missing) or censored and a duration variable that indicates either the time from start to event (if the event was observed) or the time from start to last (if the event data is missing). For example: start=DxDate,event=Date_death,last=Date_LFU will create an overall survival variable</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</si>
  <si>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</si>
  <si>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--&gt;See the Example sheet for examples of using these calculations</t>
  </si>
  <si>
    <t>m</t>
  </si>
  <si>
    <t>f</t>
  </si>
  <si>
    <t>T0</t>
  </si>
  <si>
    <t>T1</t>
  </si>
  <si>
    <t>T2</t>
  </si>
  <si>
    <t>T3</t>
  </si>
  <si>
    <t>T4</t>
  </si>
  <si>
    <t>Dichotomised T-Staging</t>
  </si>
  <si>
    <t>start=DxDate,event=Date_Death,last=Date_LFU</t>
  </si>
  <si>
    <t>AgeGroup</t>
  </si>
  <si>
    <t>Categorised Age</t>
  </si>
  <si>
    <t>Levels/Calculations</t>
  </si>
  <si>
    <t>under50=&lt;50,50-59=50-59,60-69=60-69,70plus=&gt;=70</t>
  </si>
  <si>
    <t/>
  </si>
  <si>
    <t>Column1</t>
  </si>
  <si>
    <t>-or-  A calculation, see below</t>
  </si>
  <si>
    <t>Age,under50=&lt;50,50-59=&lt;60,60-69=&lt;70,70plus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</si>
</sst>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d\-mmm\-yyyy"/>
  </numFmts>
  <fonts count="17"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CC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56">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NumberFormat="1"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10" fillId="6" borderId="0" xfId="0" applyFont="1" applyFill="1" applyAlignment="1">
      <alignment horizontal="left" vertical="top"/>
    </xf>
    <xf numFmtId="0" fontId="6" fillId="6" borderId="0" xfId="0" applyFont="1" applyFill="1" applyAlignment="1">
      <alignment horizontal="left" vertical="top"/>
    </xf>
    <xf numFmtId="0" fontId="0" fillId="6" borderId="0" xfId="0" applyFont="1" applyFill="1" applyAlignment="1">
      <alignment wrapText="1"/>
    </xf>
    <xf numFmtId="0" fontId="5" fillId="3" borderId="0" xfId="0" applyFont="1" applyFill="1" applyAlignment="1">
      <alignment horizontal="left" vertical="top"/>
    </xf>
    <xf numFmtId="0" fontId="15" fillId="6" borderId="0" xfId="0" quotePrefix="1" applyFont="1" applyFill="1"/>
    <xf numFmtId="0" fontId="7" fillId="0" borderId="0" xfId="0" applyFont="1" applyFill="1" applyAlignment="1">
      <alignment horizontal="left" vertical="top"/>
    </xf>
    <xf numFmtId="0" fontId="6" fillId="0" borderId="0" xfId="0" applyFont="1" applyFill="1" applyAlignment="1">
      <alignment horizontal="left" vertical="top" wrapText="1"/>
    </xf>
    <xf numFmtId="0" fontId="0" fillId="0" borderId="0" xfId="0" applyFill="1"/>
    <xf numFmtId="165" fontId="0" fillId="0" borderId="0" xfId="0" applyNumberFormat="1" applyFill="1"/>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xf numFmtId="0" fontId="1" fillId="3" borderId="0" xfId="0" quotePrefix="1" applyFont="1" applyFill="1" applyAlignment="1">
      <alignment horizontal="left" vertical="top"/>
    </xf>
  </cellXfs>
  <cellStyles count="2">
    <cellStyle name="Hyperlink" xfId="1" builtinId="8"/>
    <cellStyle name="Normal" xfId="0" builtinId="0"/>
  </cellStyles>
  <dxfs count="34">
    <dxf>
      <numFmt numFmtId="165" formatCode="d\-m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165" formatCode="d\-mmm\-yyyy"/>
      <fill>
        <patternFill patternType="none">
          <fgColor indexed="64"/>
          <bgColor indexed="65"/>
        </patternFill>
      </fill>
    </dxf>
    <dxf>
      <numFmt numFmtId="165" formatCode="d\-mmm\-yyyy"/>
      <fill>
        <patternFill patternType="none">
          <fgColor indexed="64"/>
          <bgColor indexed="65"/>
        </patternFill>
      </fill>
    </dxf>
    <dxf>
      <numFmt numFmtId="0" formatCode="General"/>
      <fill>
        <patternFill patternType="none">
          <fgColor indexed="64"/>
          <bgColor indexed="65"/>
        </patternFill>
      </fill>
    </dxf>
    <dxf>
      <numFmt numFmtId="165" formatCode="d\-mmm\-yyyy"/>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i val="0"/>
        <color indexed="10"/>
      </font>
    </dxf>
    <dxf>
      <font>
        <b/>
        <i val="0"/>
        <color indexed="10"/>
      </font>
    </dxf>
    <dxf>
      <font>
        <b/>
        <i val="0"/>
        <color indexed="10"/>
      </font>
    </dxf>
    <dxf>
      <font>
        <b/>
        <i val="0"/>
        <color indexed="10"/>
      </font>
    </dxf>
    <dxf>
      <font>
        <b/>
        <i val="0"/>
        <color indexed="10"/>
      </font>
    </dxf>
    <dxf>
      <fill>
        <patternFill>
          <bgColor indexed="43"/>
        </patternFill>
      </fill>
    </dxf>
    <dxf>
      <font>
        <b/>
        <i val="0"/>
        <color indexed="10"/>
      </font>
    </dxf>
    <dxf>
      <font>
        <b/>
        <i val="0"/>
        <color indexed="10"/>
      </font>
    </dxf>
    <dxf>
      <fill>
        <patternFill>
          <bgColor indexed="43"/>
        </patternFill>
      </fill>
    </dxf>
    <dxf>
      <font>
        <b/>
        <i val="0"/>
        <color indexed="10"/>
      </font>
    </dxf>
    <dxf>
      <fill>
        <patternFill>
          <bgColor indexed="43"/>
        </patternFill>
      </fill>
    </dxf>
    <dxf>
      <font>
        <b/>
        <i val="0"/>
        <color indexed="10"/>
      </font>
    </dxf>
    <dxf>
      <font>
        <b/>
        <i val="0"/>
        <color indexed="10"/>
      </font>
    </dxf>
    <dxf>
      <fill>
        <patternFill>
          <bgColor indexed="43"/>
        </patternFill>
      </fill>
    </dxf>
    <dxf>
      <fill>
        <patternFill>
          <bgColor indexed="43"/>
        </patternFill>
      </fill>
    </dxf>
    <dxf>
      <fill>
        <patternFill>
          <bgColor indexed="43"/>
        </patternFill>
      </fill>
    </dxf>
    <dxf>
      <fill>
        <patternFill>
          <bgColor indexed="43"/>
        </patternFill>
      </fill>
    </dxf>
    <dxf>
      <font>
        <b/>
        <i val="0"/>
        <color indexed="10"/>
      </font>
    </dxf>
    <dxf>
      <fill>
        <patternFill>
          <bgColor indexed="43"/>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76200</xdr:rowOff>
        </xdr:from>
        <xdr:to>
          <xdr:col>7</xdr:col>
          <xdr:colOff>1130300</xdr:colOff>
          <xdr:row>2</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1155700</xdr:colOff>
          <xdr:row>0</xdr:row>
          <xdr:rowOff>76200</xdr:rowOff>
        </xdr:from>
        <xdr:to>
          <xdr:col>7</xdr:col>
          <xdr:colOff>2870200</xdr:colOff>
          <xdr:row>2</xdr:row>
          <xdr:rowOff>76200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382CAD-418E-4B7B-8AD8-CF53AB5E533F}" name="DataEntry_tbl" displayName="DataEntry_tbl" ref="A1:M110" totalsRowShown="0" headerRowDxfId="14" dataDxfId="13">
  <autoFilter ref="A1:M110" xr:uid="{8DFBC24D-6EBD-43BC-8AF0-4A8CC4995D3E}"/>
  <tableColumns count="13">
    <tableColumn id="1" xr3:uid="{95BCFA70-18AE-4A89-AFAC-F8EEEC7CF61E}" name="ID" dataDxfId="12"/>
    <tableColumn id="2" xr3:uid="{4A5730AA-9235-4F95-8DDC-C4A73AEF11FA}" name="Age" dataDxfId="11">
      <calculatedColumnFormula>RANDBETWEEN(40,85)</calculatedColumnFormula>
    </tableColumn>
    <tableColumn id="3" xr3:uid="{A0624F41-3AD0-4E2E-A337-0426C6AD19AB}" name="Sex" dataDxfId="10">
      <calculatedColumnFormula>RANDBETWEEN(1,2)</calculatedColumnFormula>
    </tableColumn>
    <tableColumn id="4" xr3:uid="{F0DFADA4-56DA-46F4-B11F-2209F848FD8A}" name="Gender" dataDxfId="9">
      <calculatedColumnFormula>IF(C1=1,"m","f")</calculatedColumnFormula>
    </tableColumn>
    <tableColumn id="5" xr3:uid="{90FBF06E-4981-494B-9D33-BC366A9C5E84}" name="T_Stage" dataDxfId="8">
      <calculatedColumnFormula>CONCATENATE("T",RANDBETWEEN(0,4))</calculatedColumnFormula>
    </tableColumn>
    <tableColumn id="6" xr3:uid="{587A975F-F9DE-4862-BA71-DA0D350AF436}" name="DxDate" dataDxfId="7"/>
    <tableColumn id="7" xr3:uid="{D06E1B61-8CF3-43DC-8C57-77D81A3519E8}" name="ECOG" dataDxfId="6">
      <calculatedColumnFormula>RANDBETWEEN(0,5)</calculatedColumnFormula>
    </tableColumn>
    <tableColumn id="8" xr3:uid="{55565BCC-8564-4375-8E6D-D7A7C6C7E032}" name="Date_Death" dataDxfId="5"/>
    <tableColumn id="9" xr3:uid="{248697E2-9B3E-4E38-9507-AAA43B0AFDD3}" name="Date_LFU" dataDxfId="4"/>
    <tableColumn id="10" xr3:uid="{2AABF124-9EF6-4EF0-944E-FDCD29B393B3}" name="OS" dataDxfId="3"/>
    <tableColumn id="11" xr3:uid="{10D71017-288C-4154-8016-55D2AFC725A5}" name="T0_Stg" dataDxfId="2"/>
    <tableColumn id="12" xr3:uid="{DF786FF2-C5F5-489C-900B-A44522077445}" name="AgeGroup" dataDxfId="1"/>
    <tableColumn id="13" xr3:uid="{603D341C-45E8-4924-868B-7FC2FEB6E085}"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1"/>
  <sheetViews>
    <sheetView zoomScale="83" zoomScaleNormal="83" workbookViewId="0">
      <selection activeCell="F13" sqref="F13"/>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21.906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84</v>
      </c>
      <c r="H1" s="45"/>
      <c r="I1" s="9"/>
    </row>
    <row r="2" spans="1:9" x14ac:dyDescent="0.35">
      <c r="A2" s="14" t="s">
        <v>12</v>
      </c>
      <c r="B2" s="15" t="s">
        <v>13</v>
      </c>
      <c r="C2" s="14" t="s">
        <v>14</v>
      </c>
      <c r="D2" s="19"/>
      <c r="E2" s="19"/>
      <c r="F2" s="14"/>
      <c r="H2" s="15"/>
      <c r="I2" s="46"/>
    </row>
    <row r="3" spans="1:9" x14ac:dyDescent="0.35">
      <c r="A3" s="14" t="s">
        <v>6</v>
      </c>
      <c r="B3" s="15" t="s">
        <v>7</v>
      </c>
      <c r="C3" s="14" t="s">
        <v>8</v>
      </c>
      <c r="D3" s="19">
        <v>40</v>
      </c>
      <c r="E3" s="19">
        <v>110</v>
      </c>
      <c r="F3" s="14"/>
      <c r="H3" s="15"/>
      <c r="I3" s="46"/>
    </row>
    <row r="4" spans="1:9" x14ac:dyDescent="0.35">
      <c r="A4" s="14" t="s">
        <v>9</v>
      </c>
      <c r="B4" s="15" t="s">
        <v>10</v>
      </c>
      <c r="C4" s="14" t="s">
        <v>20</v>
      </c>
      <c r="D4" s="19"/>
      <c r="E4" s="19"/>
      <c r="F4" s="14" t="s">
        <v>32</v>
      </c>
      <c r="H4" s="15"/>
      <c r="I4" s="46"/>
    </row>
    <row r="5" spans="1:9" x14ac:dyDescent="0.35">
      <c r="A5" s="14" t="s">
        <v>21</v>
      </c>
      <c r="B5" s="15" t="s">
        <v>22</v>
      </c>
      <c r="C5" s="14" t="s">
        <v>11</v>
      </c>
      <c r="D5" s="19"/>
      <c r="E5" s="19"/>
      <c r="F5" s="14" t="s">
        <v>34</v>
      </c>
      <c r="H5" s="15"/>
      <c r="I5" s="46"/>
    </row>
    <row r="6" spans="1:9" x14ac:dyDescent="0.35">
      <c r="A6" s="14" t="s">
        <v>30</v>
      </c>
      <c r="B6" s="15"/>
      <c r="C6" s="14" t="s">
        <v>11</v>
      </c>
      <c r="D6" s="19"/>
      <c r="E6" s="19"/>
      <c r="F6" s="14" t="s">
        <v>31</v>
      </c>
      <c r="H6" s="15"/>
      <c r="I6" s="46"/>
    </row>
    <row r="7" spans="1:9" x14ac:dyDescent="0.35">
      <c r="A7" s="14" t="s">
        <v>18</v>
      </c>
      <c r="B7" s="15" t="s">
        <v>19</v>
      </c>
      <c r="C7" s="14" t="s">
        <v>15</v>
      </c>
      <c r="D7" s="20">
        <v>43466</v>
      </c>
      <c r="E7" s="20" t="s">
        <v>42</v>
      </c>
      <c r="F7" s="14"/>
      <c r="H7" s="15"/>
      <c r="I7" s="46"/>
    </row>
    <row r="8" spans="1:9" x14ac:dyDescent="0.35">
      <c r="A8" s="14" t="s">
        <v>16</v>
      </c>
      <c r="B8" s="15"/>
      <c r="C8" s="14" t="s">
        <v>17</v>
      </c>
      <c r="D8" s="19">
        <v>0</v>
      </c>
      <c r="E8" s="19">
        <v>5</v>
      </c>
      <c r="F8" s="14"/>
      <c r="H8" s="15"/>
      <c r="I8" s="46"/>
    </row>
    <row r="9" spans="1:9" x14ac:dyDescent="0.35">
      <c r="A9" s="14" t="s">
        <v>25</v>
      </c>
      <c r="B9" s="15" t="s">
        <v>26</v>
      </c>
      <c r="C9" s="14" t="s">
        <v>15</v>
      </c>
      <c r="D9" s="20" t="s">
        <v>18</v>
      </c>
      <c r="E9" s="20">
        <v>44561</v>
      </c>
      <c r="F9" s="14"/>
      <c r="H9" s="14"/>
      <c r="I9" s="14"/>
    </row>
    <row r="10" spans="1:9" x14ac:dyDescent="0.35">
      <c r="A10" s="14" t="s">
        <v>28</v>
      </c>
      <c r="B10" s="15" t="s">
        <v>29</v>
      </c>
      <c r="C10" s="14" t="s">
        <v>15</v>
      </c>
      <c r="D10" s="20" t="s">
        <v>18</v>
      </c>
      <c r="E10" s="20">
        <v>44561</v>
      </c>
      <c r="F10" s="14"/>
    </row>
    <row r="11" spans="1:9" ht="29" x14ac:dyDescent="0.35">
      <c r="A11" s="14" t="s">
        <v>24</v>
      </c>
      <c r="B11" s="15" t="s">
        <v>27</v>
      </c>
      <c r="C11" s="14" t="s">
        <v>23</v>
      </c>
      <c r="D11" s="19"/>
      <c r="E11" s="19"/>
      <c r="F11" s="15" t="s">
        <v>81</v>
      </c>
    </row>
    <row r="12" spans="1:9" x14ac:dyDescent="0.35">
      <c r="A12" s="30" t="s">
        <v>68</v>
      </c>
      <c r="B12" s="28" t="s">
        <v>80</v>
      </c>
      <c r="C12" s="14" t="s">
        <v>23</v>
      </c>
      <c r="D12" s="29"/>
      <c r="E12" s="33"/>
      <c r="F12" s="30" t="s">
        <v>69</v>
      </c>
    </row>
    <row r="13" spans="1:9" x14ac:dyDescent="0.35">
      <c r="A13" s="12" t="s">
        <v>82</v>
      </c>
      <c r="C13" s="12" t="s">
        <v>23</v>
      </c>
      <c r="F13" s="12" t="s">
        <v>89</v>
      </c>
    </row>
    <row r="14" spans="1:9" x14ac:dyDescent="0.35">
      <c r="H14" s="9"/>
      <c r="I14" s="9"/>
    </row>
    <row r="15" spans="1:9" x14ac:dyDescent="0.35">
      <c r="A15" s="16" t="s">
        <v>33</v>
      </c>
      <c r="H15" s="14"/>
      <c r="I15" s="14"/>
    </row>
    <row r="16" spans="1:9" x14ac:dyDescent="0.35">
      <c r="A16" s="17" t="s">
        <v>35</v>
      </c>
      <c r="H16" s="14"/>
      <c r="I16" s="14"/>
    </row>
    <row r="17" spans="8:9" x14ac:dyDescent="0.35">
      <c r="H17" s="14"/>
      <c r="I17" s="14"/>
    </row>
    <row r="18" spans="8:9" x14ac:dyDescent="0.35">
      <c r="H18" s="14"/>
      <c r="I18" s="14"/>
    </row>
    <row r="19" spans="8:9" x14ac:dyDescent="0.35">
      <c r="H19" s="14"/>
      <c r="I19" s="14"/>
    </row>
    <row r="20" spans="8:9" x14ac:dyDescent="0.35">
      <c r="H20" s="14"/>
      <c r="I20" s="14"/>
    </row>
    <row r="21" spans="8:9" x14ac:dyDescent="0.35">
      <c r="H21" s="14"/>
      <c r="I21" s="14"/>
    </row>
  </sheetData>
  <dataValidations count="1">
    <dataValidation type="list" allowBlank="1" showInputMessage="1" showErrorMessage="1" sqref="C161:C1048576 C1" xr:uid="{4EB2E0DD-1C83-4A35-A8A3-C283EA817F58}">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A466209-43B1-4DE3-BF29-CB20BBFF820E}">
          <x14:formula1>
            <xm:f>DataDictionary!$G$19:$G$25</xm:f>
          </x14:formula1>
          <xm:sqref>C2:C160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FC297-8734-486F-B4B2-5EE25091E164}">
  <sheetPr codeName="Sheet7"/>
  <dimension ref="C1:E6"/>
  <sheetViews>
    <sheetView workbookViewId="0"/>
  </sheetViews>
  <sheetFormatPr defaultRowHeight="14.5" x14ac:dyDescent="0.35"/>
  <sheetData>
    <row r="1" spans="3:5" x14ac:dyDescent="0.35">
      <c r="C1" t="s">
        <v>9</v>
      </c>
      <c r="D1" t="s">
        <v>21</v>
      </c>
      <c r="E1" t="s">
        <v>30</v>
      </c>
    </row>
    <row r="2" spans="3:5" x14ac:dyDescent="0.35">
      <c r="C2">
        <v>1</v>
      </c>
      <c r="D2" t="s">
        <v>73</v>
      </c>
      <c r="E2" t="s">
        <v>75</v>
      </c>
    </row>
    <row r="3" spans="3:5" x14ac:dyDescent="0.35">
      <c r="C3">
        <v>2</v>
      </c>
      <c r="D3" t="s">
        <v>74</v>
      </c>
      <c r="E3" t="s">
        <v>76</v>
      </c>
    </row>
    <row r="4" spans="3:5" x14ac:dyDescent="0.35">
      <c r="E4" t="s">
        <v>77</v>
      </c>
    </row>
    <row r="5" spans="3:5" x14ac:dyDescent="0.35">
      <c r="E5" t="s">
        <v>78</v>
      </c>
    </row>
    <row r="6" spans="3:5" x14ac:dyDescent="0.35">
      <c r="E6" t="s">
        <v>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DA7EA-A165-4B80-B115-69307CD0FF11}">
  <sheetPr codeName="Sheet5"/>
  <dimension ref="A1:N110"/>
  <sheetViews>
    <sheetView topLeftCell="C1" workbookViewId="0">
      <selection activeCell="N7" sqref="N7"/>
    </sheetView>
  </sheetViews>
  <sheetFormatPr defaultRowHeight="14.5" x14ac:dyDescent="0.35"/>
  <cols>
    <col min="1" max="3" width="8.7265625" style="47"/>
    <col min="4" max="4" width="9" style="47" customWidth="1"/>
    <col min="5" max="5" width="9.36328125" style="47" customWidth="1"/>
    <col min="6" max="6" width="12.6328125" style="47" customWidth="1"/>
    <col min="7" max="7" width="8.7265625" style="47"/>
    <col min="8" max="9" width="12.6328125" style="47" customWidth="1"/>
    <col min="10" max="12" width="8.7265625" style="47"/>
    <col min="13" max="13" width="11.7265625" style="47" bestFit="1" customWidth="1"/>
    <col min="14" max="14" width="13.6328125" style="47" customWidth="1"/>
    <col min="15" max="16384" width="8.7265625" style="47"/>
  </cols>
  <sheetData>
    <row r="1" spans="1:14" x14ac:dyDescent="0.35">
      <c r="A1" s="47" t="s">
        <v>12</v>
      </c>
      <c r="B1" s="47" t="s">
        <v>6</v>
      </c>
      <c r="C1" s="47" t="s">
        <v>9</v>
      </c>
      <c r="D1" s="47" t="s">
        <v>21</v>
      </c>
      <c r="E1" s="47" t="s">
        <v>30</v>
      </c>
      <c r="F1" s="47" t="s">
        <v>18</v>
      </c>
      <c r="G1" s="47" t="s">
        <v>16</v>
      </c>
      <c r="H1" s="47" t="s">
        <v>25</v>
      </c>
      <c r="I1" s="47" t="s">
        <v>28</v>
      </c>
      <c r="J1" s="47" t="s">
        <v>24</v>
      </c>
      <c r="K1" s="47" t="s">
        <v>68</v>
      </c>
      <c r="L1" s="47" t="s">
        <v>82</v>
      </c>
      <c r="M1" s="47" t="s">
        <v>87</v>
      </c>
    </row>
    <row r="2" spans="1:14" x14ac:dyDescent="0.35">
      <c r="A2" s="47">
        <v>1</v>
      </c>
      <c r="B2" s="47">
        <f t="shared" ref="B2:B33" ca="1" si="0">RANDBETWEEN(40,85)</f>
        <v>49</v>
      </c>
      <c r="C2" s="47">
        <f t="shared" ref="C2:C33" ca="1" si="1">RANDBETWEEN(1,2)</f>
        <v>1</v>
      </c>
      <c r="D2" s="47" t="str">
        <f t="shared" ref="D2:D33" si="2">IF(C1=1,"m","f")</f>
        <v>f</v>
      </c>
      <c r="E2" s="47" t="str">
        <f t="shared" ref="E2:E33" ca="1" si="3">CONCATENATE("T",RANDBETWEEN(0,4))</f>
        <v>T1</v>
      </c>
      <c r="F2" s="48">
        <v>43621</v>
      </c>
      <c r="G2" s="47">
        <f t="shared" ref="G2:G33" ca="1" si="4">RANDBETWEEN(0,5)</f>
        <v>5</v>
      </c>
      <c r="H2" s="47">
        <v>44414</v>
      </c>
      <c r="I2" s="47" t="s">
        <v>86</v>
      </c>
      <c r="M2" s="48"/>
      <c r="N2" s="48"/>
    </row>
    <row r="3" spans="1:14" x14ac:dyDescent="0.35">
      <c r="A3" s="47">
        <v>2</v>
      </c>
      <c r="B3" s="47">
        <f t="shared" ca="1" si="0"/>
        <v>84</v>
      </c>
      <c r="C3" s="47">
        <f t="shared" ca="1" si="1"/>
        <v>2</v>
      </c>
      <c r="D3" s="47" t="str">
        <f t="shared" ca="1" si="2"/>
        <v>m</v>
      </c>
      <c r="E3" s="47" t="str">
        <f t="shared" ca="1" si="3"/>
        <v>T0</v>
      </c>
      <c r="F3" s="48">
        <v>43734</v>
      </c>
      <c r="G3" s="47">
        <f t="shared" ca="1" si="4"/>
        <v>1</v>
      </c>
      <c r="H3" s="48">
        <v>43988</v>
      </c>
      <c r="I3" s="48" t="s">
        <v>86</v>
      </c>
      <c r="M3" s="48"/>
      <c r="N3" s="48"/>
    </row>
    <row r="4" spans="1:14" x14ac:dyDescent="0.35">
      <c r="A4" s="47">
        <v>3</v>
      </c>
      <c r="B4" s="47">
        <f t="shared" ca="1" si="0"/>
        <v>52</v>
      </c>
      <c r="C4" s="47">
        <f t="shared" ca="1" si="1"/>
        <v>1</v>
      </c>
      <c r="D4" s="47" t="str">
        <f t="shared" ca="1" si="2"/>
        <v>f</v>
      </c>
      <c r="E4" s="47" t="str">
        <f t="shared" ca="1" si="3"/>
        <v>T3</v>
      </c>
      <c r="F4" s="48">
        <v>43665</v>
      </c>
      <c r="G4" s="47">
        <f t="shared" ca="1" si="4"/>
        <v>0</v>
      </c>
      <c r="H4" s="48" t="s">
        <v>86</v>
      </c>
      <c r="I4" s="48">
        <v>44032</v>
      </c>
      <c r="M4" s="48"/>
      <c r="N4" s="48"/>
    </row>
    <row r="5" spans="1:14" x14ac:dyDescent="0.35">
      <c r="A5" s="47">
        <v>4</v>
      </c>
      <c r="B5" s="47">
        <f t="shared" ca="1" si="0"/>
        <v>59</v>
      </c>
      <c r="C5" s="47">
        <f t="shared" ca="1" si="1"/>
        <v>1</v>
      </c>
      <c r="D5" s="47" t="str">
        <f t="shared" ca="1" si="2"/>
        <v>m</v>
      </c>
      <c r="E5" s="47" t="str">
        <f t="shared" ca="1" si="3"/>
        <v>T4</v>
      </c>
      <c r="F5" s="48">
        <v>43562</v>
      </c>
      <c r="G5" s="47">
        <f t="shared" ca="1" si="4"/>
        <v>4</v>
      </c>
      <c r="H5" s="48" t="s">
        <v>86</v>
      </c>
      <c r="I5" s="48">
        <v>44381</v>
      </c>
      <c r="M5" s="48"/>
      <c r="N5" s="48"/>
    </row>
    <row r="6" spans="1:14" x14ac:dyDescent="0.35">
      <c r="A6" s="47">
        <v>5</v>
      </c>
      <c r="B6" s="47">
        <f t="shared" ca="1" si="0"/>
        <v>53</v>
      </c>
      <c r="C6" s="47">
        <f t="shared" ca="1" si="1"/>
        <v>1</v>
      </c>
      <c r="D6" s="47" t="str">
        <f t="shared" ca="1" si="2"/>
        <v>m</v>
      </c>
      <c r="E6" s="47" t="str">
        <f t="shared" ca="1" si="3"/>
        <v>T3</v>
      </c>
      <c r="F6" s="48">
        <v>43623</v>
      </c>
      <c r="G6" s="47">
        <f t="shared" ca="1" si="4"/>
        <v>2</v>
      </c>
      <c r="H6" s="48">
        <v>44169</v>
      </c>
      <c r="I6" s="48" t="s">
        <v>86</v>
      </c>
      <c r="M6" s="48"/>
      <c r="N6" s="48"/>
    </row>
    <row r="7" spans="1:14" x14ac:dyDescent="0.35">
      <c r="A7" s="47">
        <v>6</v>
      </c>
      <c r="B7" s="47">
        <f t="shared" ca="1" si="0"/>
        <v>82</v>
      </c>
      <c r="C7" s="47">
        <f t="shared" ca="1" si="1"/>
        <v>1</v>
      </c>
      <c r="D7" s="47" t="str">
        <f t="shared" ca="1" si="2"/>
        <v>m</v>
      </c>
      <c r="E7" s="47" t="str">
        <f t="shared" ca="1" si="3"/>
        <v>T2</v>
      </c>
      <c r="F7" s="48">
        <v>44237</v>
      </c>
      <c r="G7" s="47">
        <f t="shared" ca="1" si="4"/>
        <v>5</v>
      </c>
      <c r="H7" s="48">
        <v>44479</v>
      </c>
      <c r="I7" s="48" t="s">
        <v>86</v>
      </c>
      <c r="M7" s="48"/>
      <c r="N7" s="48"/>
    </row>
    <row r="8" spans="1:14" x14ac:dyDescent="0.35">
      <c r="A8" s="47">
        <v>7</v>
      </c>
      <c r="B8" s="47">
        <f t="shared" ca="1" si="0"/>
        <v>56</v>
      </c>
      <c r="C8" s="47">
        <f t="shared" ca="1" si="1"/>
        <v>2</v>
      </c>
      <c r="D8" s="47" t="str">
        <f t="shared" ca="1" si="2"/>
        <v>m</v>
      </c>
      <c r="E8" s="47" t="str">
        <f t="shared" ca="1" si="3"/>
        <v>T4</v>
      </c>
      <c r="F8" s="48">
        <v>43645</v>
      </c>
      <c r="G8" s="47">
        <f t="shared" ca="1" si="4"/>
        <v>1</v>
      </c>
      <c r="H8" s="48">
        <v>44030</v>
      </c>
      <c r="I8" s="48" t="s">
        <v>86</v>
      </c>
      <c r="M8" s="48"/>
      <c r="N8" s="48"/>
    </row>
    <row r="9" spans="1:14" x14ac:dyDescent="0.35">
      <c r="A9" s="47">
        <v>8</v>
      </c>
      <c r="B9" s="47">
        <f t="shared" ca="1" si="0"/>
        <v>69</v>
      </c>
      <c r="C9" s="47">
        <f t="shared" ca="1" si="1"/>
        <v>2</v>
      </c>
      <c r="D9" s="47" t="str">
        <f t="shared" ca="1" si="2"/>
        <v>f</v>
      </c>
      <c r="E9" s="47" t="str">
        <f t="shared" ca="1" si="3"/>
        <v>T0</v>
      </c>
      <c r="F9" s="48">
        <v>44455</v>
      </c>
      <c r="G9" s="47">
        <f t="shared" ca="1" si="4"/>
        <v>3</v>
      </c>
      <c r="H9" s="48">
        <v>44470</v>
      </c>
      <c r="I9" s="48" t="s">
        <v>86</v>
      </c>
      <c r="M9" s="48"/>
      <c r="N9" s="48"/>
    </row>
    <row r="10" spans="1:14" x14ac:dyDescent="0.35">
      <c r="A10" s="47">
        <v>9</v>
      </c>
      <c r="B10" s="47">
        <f t="shared" ca="1" si="0"/>
        <v>68</v>
      </c>
      <c r="C10" s="47">
        <f t="shared" ca="1" si="1"/>
        <v>1</v>
      </c>
      <c r="D10" s="47" t="str">
        <f t="shared" ca="1" si="2"/>
        <v>f</v>
      </c>
      <c r="E10" s="47" t="str">
        <f t="shared" ca="1" si="3"/>
        <v>T0</v>
      </c>
      <c r="F10" s="48">
        <v>43816</v>
      </c>
      <c r="G10" s="47">
        <f t="shared" ca="1" si="4"/>
        <v>1</v>
      </c>
      <c r="H10" s="48" t="s">
        <v>86</v>
      </c>
      <c r="I10" s="48">
        <v>44561</v>
      </c>
      <c r="M10" s="48"/>
      <c r="N10" s="48"/>
    </row>
    <row r="11" spans="1:14" x14ac:dyDescent="0.35">
      <c r="A11" s="47">
        <v>10</v>
      </c>
      <c r="B11" s="47">
        <f t="shared" ca="1" si="0"/>
        <v>43</v>
      </c>
      <c r="C11" s="47">
        <f t="shared" ca="1" si="1"/>
        <v>1</v>
      </c>
      <c r="D11" s="47" t="str">
        <f t="shared" ca="1" si="2"/>
        <v>m</v>
      </c>
      <c r="E11" s="47" t="str">
        <f t="shared" ca="1" si="3"/>
        <v>T0</v>
      </c>
      <c r="F11" s="48">
        <v>43655</v>
      </c>
      <c r="G11" s="47">
        <f t="shared" ca="1" si="4"/>
        <v>3</v>
      </c>
      <c r="H11" s="48" t="s">
        <v>86</v>
      </c>
      <c r="I11" s="48">
        <v>43824</v>
      </c>
      <c r="M11" s="48"/>
      <c r="N11" s="48"/>
    </row>
    <row r="12" spans="1:14" x14ac:dyDescent="0.35">
      <c r="A12" s="47">
        <v>11</v>
      </c>
      <c r="B12" s="47">
        <f t="shared" ca="1" si="0"/>
        <v>68</v>
      </c>
      <c r="C12" s="47">
        <f t="shared" ca="1" si="1"/>
        <v>1</v>
      </c>
      <c r="D12" s="47" t="str">
        <f t="shared" ca="1" si="2"/>
        <v>m</v>
      </c>
      <c r="E12" s="47" t="str">
        <f t="shared" ca="1" si="3"/>
        <v>T0</v>
      </c>
      <c r="F12" s="48">
        <v>44211</v>
      </c>
      <c r="G12" s="47">
        <f t="shared" ca="1" si="4"/>
        <v>1</v>
      </c>
      <c r="H12" s="48">
        <v>44240</v>
      </c>
      <c r="I12" s="48" t="s">
        <v>86</v>
      </c>
      <c r="M12" s="48"/>
      <c r="N12" s="48"/>
    </row>
    <row r="13" spans="1:14" x14ac:dyDescent="0.35">
      <c r="A13" s="47">
        <v>12</v>
      </c>
      <c r="B13" s="47">
        <f t="shared" ca="1" si="0"/>
        <v>83</v>
      </c>
      <c r="C13" s="47">
        <f t="shared" ca="1" si="1"/>
        <v>1</v>
      </c>
      <c r="D13" s="47" t="str">
        <f t="shared" ca="1" si="2"/>
        <v>m</v>
      </c>
      <c r="E13" s="47" t="str">
        <f t="shared" ca="1" si="3"/>
        <v>T0</v>
      </c>
      <c r="F13" s="48">
        <v>44315</v>
      </c>
      <c r="G13" s="47">
        <f t="shared" ca="1" si="4"/>
        <v>4</v>
      </c>
      <c r="H13" s="48">
        <v>44329</v>
      </c>
      <c r="I13" s="48" t="s">
        <v>86</v>
      </c>
      <c r="M13" s="48"/>
      <c r="N13" s="48"/>
    </row>
    <row r="14" spans="1:14" x14ac:dyDescent="0.35">
      <c r="A14" s="47">
        <v>13</v>
      </c>
      <c r="B14" s="47">
        <f t="shared" ca="1" si="0"/>
        <v>84</v>
      </c>
      <c r="C14" s="47">
        <f t="shared" ca="1" si="1"/>
        <v>2</v>
      </c>
      <c r="D14" s="47" t="str">
        <f t="shared" ca="1" si="2"/>
        <v>m</v>
      </c>
      <c r="E14" s="47" t="str">
        <f t="shared" ca="1" si="3"/>
        <v>T3</v>
      </c>
      <c r="F14" s="48">
        <v>44169</v>
      </c>
      <c r="G14" s="47">
        <f t="shared" ca="1" si="4"/>
        <v>0</v>
      </c>
      <c r="H14" s="48">
        <v>44334</v>
      </c>
      <c r="I14" s="48" t="s">
        <v>86</v>
      </c>
      <c r="M14" s="48"/>
      <c r="N14" s="48"/>
    </row>
    <row r="15" spans="1:14" x14ac:dyDescent="0.35">
      <c r="A15" s="47">
        <v>14</v>
      </c>
      <c r="B15" s="47">
        <f t="shared" ca="1" si="0"/>
        <v>81</v>
      </c>
      <c r="C15" s="47">
        <f t="shared" ca="1" si="1"/>
        <v>2</v>
      </c>
      <c r="D15" s="47" t="str">
        <f t="shared" ca="1" si="2"/>
        <v>f</v>
      </c>
      <c r="E15" s="47" t="str">
        <f t="shared" ca="1" si="3"/>
        <v>T3</v>
      </c>
      <c r="F15" s="48">
        <v>43674</v>
      </c>
      <c r="G15" s="47">
        <f t="shared" ca="1" si="4"/>
        <v>0</v>
      </c>
      <c r="H15" s="48" t="s">
        <v>86</v>
      </c>
      <c r="I15" s="48">
        <v>44357</v>
      </c>
      <c r="M15" s="48"/>
      <c r="N15" s="48"/>
    </row>
    <row r="16" spans="1:14" x14ac:dyDescent="0.35">
      <c r="A16" s="47">
        <v>15</v>
      </c>
      <c r="B16" s="47">
        <f t="shared" ca="1" si="0"/>
        <v>83</v>
      </c>
      <c r="C16" s="47">
        <f t="shared" ca="1" si="1"/>
        <v>1</v>
      </c>
      <c r="D16" s="47" t="str">
        <f t="shared" ca="1" si="2"/>
        <v>f</v>
      </c>
      <c r="E16" s="47" t="str">
        <f t="shared" ca="1" si="3"/>
        <v>T3</v>
      </c>
      <c r="F16" s="48">
        <v>44074</v>
      </c>
      <c r="G16" s="47">
        <f t="shared" ca="1" si="4"/>
        <v>2</v>
      </c>
      <c r="H16" s="48">
        <v>44100</v>
      </c>
      <c r="I16" s="48" t="s">
        <v>86</v>
      </c>
      <c r="M16" s="48"/>
      <c r="N16" s="48"/>
    </row>
    <row r="17" spans="1:14" x14ac:dyDescent="0.35">
      <c r="A17" s="47">
        <v>16</v>
      </c>
      <c r="B17" s="47">
        <f t="shared" ca="1" si="0"/>
        <v>85</v>
      </c>
      <c r="C17" s="47">
        <f t="shared" ca="1" si="1"/>
        <v>1</v>
      </c>
      <c r="D17" s="47" t="str">
        <f t="shared" ca="1" si="2"/>
        <v>m</v>
      </c>
      <c r="E17" s="47" t="str">
        <f t="shared" ca="1" si="3"/>
        <v>T0</v>
      </c>
      <c r="F17" s="48">
        <v>43923</v>
      </c>
      <c r="G17" s="47">
        <f t="shared" ca="1" si="4"/>
        <v>4</v>
      </c>
      <c r="H17" s="48">
        <v>44123</v>
      </c>
      <c r="I17" s="48" t="s">
        <v>86</v>
      </c>
      <c r="M17" s="48"/>
      <c r="N17" s="48"/>
    </row>
    <row r="18" spans="1:14" x14ac:dyDescent="0.35">
      <c r="A18" s="47">
        <v>17</v>
      </c>
      <c r="B18" s="47">
        <f t="shared" ca="1" si="0"/>
        <v>44</v>
      </c>
      <c r="C18" s="47">
        <f t="shared" ca="1" si="1"/>
        <v>2</v>
      </c>
      <c r="D18" s="47" t="str">
        <f t="shared" ca="1" si="2"/>
        <v>m</v>
      </c>
      <c r="E18" s="47" t="str">
        <f t="shared" ca="1" si="3"/>
        <v>T1</v>
      </c>
      <c r="F18" s="48">
        <v>43882</v>
      </c>
      <c r="G18" s="47">
        <f t="shared" ca="1" si="4"/>
        <v>1</v>
      </c>
      <c r="H18" s="48" t="s">
        <v>86</v>
      </c>
      <c r="I18" s="48">
        <v>44056</v>
      </c>
      <c r="M18" s="48"/>
      <c r="N18" s="48"/>
    </row>
    <row r="19" spans="1:14" x14ac:dyDescent="0.35">
      <c r="A19" s="47">
        <v>18</v>
      </c>
      <c r="B19" s="47">
        <f t="shared" ca="1" si="0"/>
        <v>66</v>
      </c>
      <c r="C19" s="47">
        <f t="shared" ca="1" si="1"/>
        <v>2</v>
      </c>
      <c r="D19" s="47" t="str">
        <f t="shared" ca="1" si="2"/>
        <v>f</v>
      </c>
      <c r="E19" s="47" t="str">
        <f t="shared" ca="1" si="3"/>
        <v>T4</v>
      </c>
      <c r="F19" s="48">
        <v>43793</v>
      </c>
      <c r="G19" s="47">
        <f t="shared" ca="1" si="4"/>
        <v>4</v>
      </c>
      <c r="H19" s="48" t="s">
        <v>86</v>
      </c>
      <c r="I19" s="48">
        <v>44227</v>
      </c>
      <c r="M19" s="48"/>
      <c r="N19" s="48"/>
    </row>
    <row r="20" spans="1:14" x14ac:dyDescent="0.35">
      <c r="A20" s="47">
        <v>19</v>
      </c>
      <c r="B20" s="47">
        <f t="shared" ca="1" si="0"/>
        <v>72</v>
      </c>
      <c r="C20" s="47">
        <f t="shared" ca="1" si="1"/>
        <v>1</v>
      </c>
      <c r="D20" s="47" t="str">
        <f t="shared" ca="1" si="2"/>
        <v>f</v>
      </c>
      <c r="E20" s="47" t="str">
        <f t="shared" ca="1" si="3"/>
        <v>T1</v>
      </c>
      <c r="F20" s="48">
        <v>43701</v>
      </c>
      <c r="G20" s="47">
        <f t="shared" ca="1" si="4"/>
        <v>3</v>
      </c>
      <c r="H20" s="48">
        <v>44352</v>
      </c>
      <c r="I20" s="48" t="s">
        <v>86</v>
      </c>
      <c r="M20" s="48"/>
      <c r="N20" s="48"/>
    </row>
    <row r="21" spans="1:14" x14ac:dyDescent="0.35">
      <c r="A21" s="47">
        <v>20</v>
      </c>
      <c r="B21" s="47">
        <f t="shared" ca="1" si="0"/>
        <v>77</v>
      </c>
      <c r="C21" s="47">
        <f t="shared" ca="1" si="1"/>
        <v>2</v>
      </c>
      <c r="D21" s="47" t="str">
        <f t="shared" ca="1" si="2"/>
        <v>m</v>
      </c>
      <c r="E21" s="47" t="str">
        <f t="shared" ca="1" si="3"/>
        <v>T4</v>
      </c>
      <c r="F21" s="48">
        <v>43983</v>
      </c>
      <c r="G21" s="47">
        <f t="shared" ca="1" si="4"/>
        <v>2</v>
      </c>
      <c r="H21" s="48">
        <v>44173</v>
      </c>
      <c r="I21" s="48" t="s">
        <v>86</v>
      </c>
      <c r="M21" s="48"/>
      <c r="N21" s="48"/>
    </row>
    <row r="22" spans="1:14" x14ac:dyDescent="0.35">
      <c r="A22" s="47">
        <v>21</v>
      </c>
      <c r="B22" s="47">
        <f t="shared" ca="1" si="0"/>
        <v>66</v>
      </c>
      <c r="C22" s="47">
        <f t="shared" ca="1" si="1"/>
        <v>1</v>
      </c>
      <c r="D22" s="47" t="str">
        <f t="shared" ca="1" si="2"/>
        <v>f</v>
      </c>
      <c r="E22" s="47" t="str">
        <f t="shared" ca="1" si="3"/>
        <v>T1</v>
      </c>
      <c r="F22" s="48">
        <v>43640</v>
      </c>
      <c r="G22" s="47">
        <f t="shared" ca="1" si="4"/>
        <v>2</v>
      </c>
      <c r="H22" s="48">
        <v>44442</v>
      </c>
      <c r="I22" s="48" t="s">
        <v>86</v>
      </c>
      <c r="M22" s="48"/>
      <c r="N22" s="48"/>
    </row>
    <row r="23" spans="1:14" x14ac:dyDescent="0.35">
      <c r="A23" s="47">
        <v>22</v>
      </c>
      <c r="B23" s="47">
        <f t="shared" ca="1" si="0"/>
        <v>54</v>
      </c>
      <c r="C23" s="47">
        <f t="shared" ca="1" si="1"/>
        <v>2</v>
      </c>
      <c r="D23" s="47" t="str">
        <f t="shared" ca="1" si="2"/>
        <v>m</v>
      </c>
      <c r="E23" s="47" t="str">
        <f t="shared" ca="1" si="3"/>
        <v>T1</v>
      </c>
      <c r="F23" s="48">
        <v>44158</v>
      </c>
      <c r="G23" s="47">
        <f t="shared" ca="1" si="4"/>
        <v>5</v>
      </c>
      <c r="H23" s="48">
        <v>44307</v>
      </c>
      <c r="I23" s="48" t="s">
        <v>86</v>
      </c>
      <c r="M23" s="48"/>
      <c r="N23" s="48"/>
    </row>
    <row r="24" spans="1:14" x14ac:dyDescent="0.35">
      <c r="A24" s="47">
        <v>23</v>
      </c>
      <c r="B24" s="47">
        <f t="shared" ca="1" si="0"/>
        <v>50</v>
      </c>
      <c r="C24" s="47">
        <f t="shared" ca="1" si="1"/>
        <v>1</v>
      </c>
      <c r="D24" s="47" t="str">
        <f t="shared" ca="1" si="2"/>
        <v>f</v>
      </c>
      <c r="E24" s="47" t="str">
        <f t="shared" ca="1" si="3"/>
        <v>T3</v>
      </c>
      <c r="F24" s="48">
        <v>44445</v>
      </c>
      <c r="G24" s="47">
        <f t="shared" ca="1" si="4"/>
        <v>3</v>
      </c>
      <c r="H24" s="48" t="s">
        <v>86</v>
      </c>
      <c r="I24" s="48">
        <v>44449</v>
      </c>
      <c r="M24" s="48"/>
      <c r="N24" s="48"/>
    </row>
    <row r="25" spans="1:14" x14ac:dyDescent="0.35">
      <c r="A25" s="47">
        <v>24</v>
      </c>
      <c r="B25" s="47">
        <f t="shared" ca="1" si="0"/>
        <v>46</v>
      </c>
      <c r="C25" s="47">
        <f t="shared" ca="1" si="1"/>
        <v>1</v>
      </c>
      <c r="D25" s="47" t="str">
        <f t="shared" ca="1" si="2"/>
        <v>m</v>
      </c>
      <c r="E25" s="47" t="str">
        <f t="shared" ca="1" si="3"/>
        <v>T0</v>
      </c>
      <c r="F25" s="48">
        <v>43477</v>
      </c>
      <c r="G25" s="47">
        <f t="shared" ca="1" si="4"/>
        <v>4</v>
      </c>
      <c r="H25" s="48" t="s">
        <v>86</v>
      </c>
      <c r="I25" s="48">
        <v>43909</v>
      </c>
      <c r="M25" s="48"/>
      <c r="N25" s="48"/>
    </row>
    <row r="26" spans="1:14" x14ac:dyDescent="0.35">
      <c r="A26" s="47">
        <v>25</v>
      </c>
      <c r="B26" s="47">
        <f t="shared" ca="1" si="0"/>
        <v>43</v>
      </c>
      <c r="C26" s="47">
        <f t="shared" ca="1" si="1"/>
        <v>1</v>
      </c>
      <c r="D26" s="47" t="str">
        <f t="shared" ca="1" si="2"/>
        <v>m</v>
      </c>
      <c r="E26" s="47" t="str">
        <f t="shared" ca="1" si="3"/>
        <v>T4</v>
      </c>
      <c r="F26" s="48">
        <v>43870</v>
      </c>
      <c r="G26" s="47">
        <f t="shared" ca="1" si="4"/>
        <v>2</v>
      </c>
      <c r="H26" s="48">
        <v>44099</v>
      </c>
      <c r="I26" s="48" t="s">
        <v>86</v>
      </c>
      <c r="M26" s="48"/>
      <c r="N26" s="48"/>
    </row>
    <row r="27" spans="1:14" x14ac:dyDescent="0.35">
      <c r="A27" s="47">
        <v>26</v>
      </c>
      <c r="B27" s="47">
        <f t="shared" ca="1" si="0"/>
        <v>44</v>
      </c>
      <c r="C27" s="47">
        <f t="shared" ca="1" si="1"/>
        <v>2</v>
      </c>
      <c r="D27" s="47" t="str">
        <f t="shared" ca="1" si="2"/>
        <v>m</v>
      </c>
      <c r="E27" s="47" t="str">
        <f t="shared" ca="1" si="3"/>
        <v>T1</v>
      </c>
      <c r="F27" s="48">
        <v>43795</v>
      </c>
      <c r="G27" s="47">
        <f t="shared" ca="1" si="4"/>
        <v>5</v>
      </c>
      <c r="H27" s="48" t="s">
        <v>86</v>
      </c>
      <c r="I27" s="48">
        <v>44165</v>
      </c>
      <c r="M27" s="48"/>
      <c r="N27" s="48"/>
    </row>
    <row r="28" spans="1:14" x14ac:dyDescent="0.35">
      <c r="A28" s="47">
        <v>27</v>
      </c>
      <c r="B28" s="47">
        <f t="shared" ca="1" si="0"/>
        <v>73</v>
      </c>
      <c r="C28" s="47">
        <f t="shared" ca="1" si="1"/>
        <v>2</v>
      </c>
      <c r="D28" s="47" t="str">
        <f t="shared" ca="1" si="2"/>
        <v>f</v>
      </c>
      <c r="E28" s="47" t="str">
        <f t="shared" ca="1" si="3"/>
        <v>T1</v>
      </c>
      <c r="F28" s="48">
        <v>43480</v>
      </c>
      <c r="G28" s="47">
        <f t="shared" ca="1" si="4"/>
        <v>3</v>
      </c>
      <c r="H28" s="48">
        <v>43790</v>
      </c>
      <c r="I28" s="48" t="s">
        <v>86</v>
      </c>
      <c r="M28" s="48"/>
      <c r="N28" s="48"/>
    </row>
    <row r="29" spans="1:14" x14ac:dyDescent="0.35">
      <c r="A29" s="47">
        <v>28</v>
      </c>
      <c r="B29" s="47">
        <f t="shared" ca="1" si="0"/>
        <v>61</v>
      </c>
      <c r="C29" s="47">
        <f t="shared" ca="1" si="1"/>
        <v>1</v>
      </c>
      <c r="D29" s="47" t="str">
        <f t="shared" ca="1" si="2"/>
        <v>f</v>
      </c>
      <c r="E29" s="47" t="str">
        <f t="shared" ca="1" si="3"/>
        <v>T3</v>
      </c>
      <c r="F29" s="48">
        <v>43988</v>
      </c>
      <c r="G29" s="47">
        <f t="shared" ca="1" si="4"/>
        <v>4</v>
      </c>
      <c r="H29" s="48" t="s">
        <v>86</v>
      </c>
      <c r="I29" s="48">
        <v>44171</v>
      </c>
      <c r="M29" s="48"/>
      <c r="N29" s="48"/>
    </row>
    <row r="30" spans="1:14" x14ac:dyDescent="0.35">
      <c r="A30" s="47">
        <v>29</v>
      </c>
      <c r="B30" s="47">
        <f t="shared" ca="1" si="0"/>
        <v>67</v>
      </c>
      <c r="C30" s="47">
        <f t="shared" ca="1" si="1"/>
        <v>2</v>
      </c>
      <c r="D30" s="47" t="str">
        <f t="shared" ca="1" si="2"/>
        <v>m</v>
      </c>
      <c r="E30" s="47" t="str">
        <f t="shared" ca="1" si="3"/>
        <v>T3</v>
      </c>
      <c r="F30" s="48">
        <v>44376</v>
      </c>
      <c r="G30" s="47">
        <f t="shared" ca="1" si="4"/>
        <v>0</v>
      </c>
      <c r="H30" s="48">
        <v>44383</v>
      </c>
      <c r="I30" s="48" t="s">
        <v>86</v>
      </c>
      <c r="M30" s="48"/>
      <c r="N30" s="48"/>
    </row>
    <row r="31" spans="1:14" x14ac:dyDescent="0.35">
      <c r="A31" s="47">
        <v>30</v>
      </c>
      <c r="B31" s="47">
        <f t="shared" ca="1" si="0"/>
        <v>40</v>
      </c>
      <c r="C31" s="47">
        <f t="shared" ca="1" si="1"/>
        <v>1</v>
      </c>
      <c r="D31" s="47" t="str">
        <f t="shared" ca="1" si="2"/>
        <v>f</v>
      </c>
      <c r="E31" s="47" t="str">
        <f t="shared" ca="1" si="3"/>
        <v>T4</v>
      </c>
      <c r="F31" s="48">
        <v>43753</v>
      </c>
      <c r="G31" s="47">
        <f t="shared" ca="1" si="4"/>
        <v>0</v>
      </c>
      <c r="H31" s="48" t="s">
        <v>86</v>
      </c>
      <c r="I31" s="48">
        <v>44327</v>
      </c>
      <c r="M31" s="48"/>
      <c r="N31" s="48"/>
    </row>
    <row r="32" spans="1:14" x14ac:dyDescent="0.35">
      <c r="A32" s="47">
        <v>31</v>
      </c>
      <c r="B32" s="47">
        <f t="shared" ca="1" si="0"/>
        <v>80</v>
      </c>
      <c r="C32" s="47">
        <f t="shared" ca="1" si="1"/>
        <v>1</v>
      </c>
      <c r="D32" s="47" t="str">
        <f t="shared" ca="1" si="2"/>
        <v>m</v>
      </c>
      <c r="E32" s="47" t="str">
        <f t="shared" ca="1" si="3"/>
        <v>T2</v>
      </c>
      <c r="F32" s="48">
        <v>43652</v>
      </c>
      <c r="G32" s="47">
        <f t="shared" ca="1" si="4"/>
        <v>1</v>
      </c>
      <c r="H32" s="48">
        <v>44104</v>
      </c>
      <c r="I32" s="48" t="s">
        <v>86</v>
      </c>
      <c r="M32" s="48"/>
      <c r="N32" s="48"/>
    </row>
    <row r="33" spans="1:14" x14ac:dyDescent="0.35">
      <c r="A33" s="47">
        <v>32</v>
      </c>
      <c r="B33" s="47">
        <f t="shared" ca="1" si="0"/>
        <v>65</v>
      </c>
      <c r="C33" s="47">
        <f t="shared" ca="1" si="1"/>
        <v>2</v>
      </c>
      <c r="D33" s="47" t="str">
        <f t="shared" ca="1" si="2"/>
        <v>m</v>
      </c>
      <c r="E33" s="47" t="str">
        <f t="shared" ca="1" si="3"/>
        <v>T1</v>
      </c>
      <c r="F33" s="48">
        <v>44475</v>
      </c>
      <c r="G33" s="47">
        <f t="shared" ca="1" si="4"/>
        <v>1</v>
      </c>
      <c r="H33" s="48" t="s">
        <v>86</v>
      </c>
      <c r="I33" s="48">
        <v>44476</v>
      </c>
      <c r="M33" s="48"/>
      <c r="N33" s="48"/>
    </row>
    <row r="34" spans="1:14" x14ac:dyDescent="0.35">
      <c r="A34" s="47">
        <v>33</v>
      </c>
      <c r="B34" s="47">
        <f t="shared" ref="B34:B65" ca="1" si="5">RANDBETWEEN(40,85)</f>
        <v>50</v>
      </c>
      <c r="C34" s="47">
        <f t="shared" ref="C34:C65" ca="1" si="6">RANDBETWEEN(1,2)</f>
        <v>2</v>
      </c>
      <c r="D34" s="47" t="str">
        <f t="shared" ref="D34:D65" ca="1" si="7">IF(C33=1,"m","f")</f>
        <v>f</v>
      </c>
      <c r="E34" s="47" t="str">
        <f t="shared" ref="E34:E65" ca="1" si="8">CONCATENATE("T",RANDBETWEEN(0,4))</f>
        <v>T0</v>
      </c>
      <c r="F34" s="48">
        <v>44365</v>
      </c>
      <c r="G34" s="47">
        <f t="shared" ref="G34:G65" ca="1" si="9">RANDBETWEEN(0,5)</f>
        <v>3</v>
      </c>
      <c r="H34" s="48">
        <v>44481</v>
      </c>
      <c r="I34" s="48" t="s">
        <v>86</v>
      </c>
      <c r="M34" s="48"/>
      <c r="N34" s="48"/>
    </row>
    <row r="35" spans="1:14" x14ac:dyDescent="0.35">
      <c r="A35" s="47">
        <v>34</v>
      </c>
      <c r="B35" s="47">
        <f t="shared" ca="1" si="5"/>
        <v>46</v>
      </c>
      <c r="C35" s="47">
        <f t="shared" ca="1" si="6"/>
        <v>1</v>
      </c>
      <c r="D35" s="47" t="str">
        <f t="shared" ca="1" si="7"/>
        <v>f</v>
      </c>
      <c r="E35" s="47" t="str">
        <f t="shared" ca="1" si="8"/>
        <v>T0</v>
      </c>
      <c r="F35" s="48">
        <v>43630</v>
      </c>
      <c r="G35" s="47">
        <f t="shared" ca="1" si="9"/>
        <v>0</v>
      </c>
      <c r="H35" s="48">
        <v>43669</v>
      </c>
      <c r="I35" s="48" t="s">
        <v>86</v>
      </c>
      <c r="M35" s="48"/>
      <c r="N35" s="48"/>
    </row>
    <row r="36" spans="1:14" x14ac:dyDescent="0.35">
      <c r="A36" s="47">
        <v>35</v>
      </c>
      <c r="B36" s="47">
        <f t="shared" ca="1" si="5"/>
        <v>57</v>
      </c>
      <c r="C36" s="47">
        <f t="shared" ca="1" si="6"/>
        <v>2</v>
      </c>
      <c r="D36" s="47" t="str">
        <f t="shared" ca="1" si="7"/>
        <v>m</v>
      </c>
      <c r="E36" s="47" t="str">
        <f t="shared" ca="1" si="8"/>
        <v>T4</v>
      </c>
      <c r="F36" s="48">
        <v>43775</v>
      </c>
      <c r="G36" s="47">
        <f t="shared" ca="1" si="9"/>
        <v>4</v>
      </c>
      <c r="H36" s="48">
        <v>44043</v>
      </c>
      <c r="I36" s="48" t="s">
        <v>86</v>
      </c>
      <c r="M36" s="48"/>
      <c r="N36" s="48"/>
    </row>
    <row r="37" spans="1:14" x14ac:dyDescent="0.35">
      <c r="A37" s="47">
        <v>36</v>
      </c>
      <c r="B37" s="47">
        <f t="shared" ca="1" si="5"/>
        <v>60</v>
      </c>
      <c r="C37" s="47">
        <f t="shared" ca="1" si="6"/>
        <v>1</v>
      </c>
      <c r="D37" s="47" t="str">
        <f t="shared" ca="1" si="7"/>
        <v>f</v>
      </c>
      <c r="E37" s="47" t="str">
        <f t="shared" ca="1" si="8"/>
        <v>T2</v>
      </c>
      <c r="F37" s="48">
        <v>43468</v>
      </c>
      <c r="G37" s="47">
        <f t="shared" ca="1" si="9"/>
        <v>3</v>
      </c>
      <c r="H37" s="48">
        <v>44060</v>
      </c>
      <c r="I37" s="48" t="s">
        <v>86</v>
      </c>
      <c r="M37" s="48"/>
      <c r="N37" s="48"/>
    </row>
    <row r="38" spans="1:14" x14ac:dyDescent="0.35">
      <c r="A38" s="47">
        <v>37</v>
      </c>
      <c r="B38" s="47">
        <f t="shared" ca="1" si="5"/>
        <v>83</v>
      </c>
      <c r="C38" s="47">
        <f t="shared" ca="1" si="6"/>
        <v>2</v>
      </c>
      <c r="D38" s="47" t="str">
        <f t="shared" ca="1" si="7"/>
        <v>m</v>
      </c>
      <c r="E38" s="47" t="str">
        <f t="shared" ca="1" si="8"/>
        <v>T4</v>
      </c>
      <c r="F38" s="48">
        <v>44001</v>
      </c>
      <c r="G38" s="47">
        <f t="shared" ca="1" si="9"/>
        <v>4</v>
      </c>
      <c r="H38" s="48" t="s">
        <v>86</v>
      </c>
      <c r="I38" s="48">
        <v>44033</v>
      </c>
      <c r="M38" s="48"/>
      <c r="N38" s="48"/>
    </row>
    <row r="39" spans="1:14" x14ac:dyDescent="0.35">
      <c r="A39" s="47">
        <v>38</v>
      </c>
      <c r="B39" s="47">
        <f t="shared" ca="1" si="5"/>
        <v>55</v>
      </c>
      <c r="C39" s="47">
        <f t="shared" ca="1" si="6"/>
        <v>2</v>
      </c>
      <c r="D39" s="47" t="str">
        <f t="shared" ca="1" si="7"/>
        <v>f</v>
      </c>
      <c r="E39" s="47" t="str">
        <f t="shared" ca="1" si="8"/>
        <v>T4</v>
      </c>
      <c r="F39" s="48">
        <v>44148</v>
      </c>
      <c r="G39" s="47">
        <f t="shared" ca="1" si="9"/>
        <v>0</v>
      </c>
      <c r="H39" s="48" t="s">
        <v>86</v>
      </c>
      <c r="I39" s="48">
        <v>44429</v>
      </c>
      <c r="M39" s="48"/>
      <c r="N39" s="48"/>
    </row>
    <row r="40" spans="1:14" x14ac:dyDescent="0.35">
      <c r="A40" s="47">
        <v>39</v>
      </c>
      <c r="B40" s="47">
        <f t="shared" ca="1" si="5"/>
        <v>70</v>
      </c>
      <c r="C40" s="47">
        <f t="shared" ca="1" si="6"/>
        <v>1</v>
      </c>
      <c r="D40" s="47" t="str">
        <f t="shared" ca="1" si="7"/>
        <v>f</v>
      </c>
      <c r="E40" s="47" t="str">
        <f t="shared" ca="1" si="8"/>
        <v>T3</v>
      </c>
      <c r="F40" s="48">
        <v>43658</v>
      </c>
      <c r="G40" s="47">
        <f t="shared" ca="1" si="9"/>
        <v>0</v>
      </c>
      <c r="H40" s="48">
        <v>43848</v>
      </c>
      <c r="I40" s="48" t="s">
        <v>86</v>
      </c>
      <c r="M40" s="48"/>
      <c r="N40" s="48"/>
    </row>
    <row r="41" spans="1:14" x14ac:dyDescent="0.35">
      <c r="A41" s="47">
        <v>40</v>
      </c>
      <c r="B41" s="47">
        <f t="shared" ca="1" si="5"/>
        <v>48</v>
      </c>
      <c r="C41" s="47">
        <f t="shared" ca="1" si="6"/>
        <v>2</v>
      </c>
      <c r="D41" s="47" t="str">
        <f t="shared" ca="1" si="7"/>
        <v>m</v>
      </c>
      <c r="E41" s="47" t="str">
        <f t="shared" ca="1" si="8"/>
        <v>T3</v>
      </c>
      <c r="F41" s="48">
        <v>43973</v>
      </c>
      <c r="G41" s="47">
        <f t="shared" ca="1" si="9"/>
        <v>0</v>
      </c>
      <c r="H41" s="48" t="s">
        <v>86</v>
      </c>
      <c r="I41" s="48">
        <v>44439</v>
      </c>
      <c r="M41" s="48"/>
      <c r="N41" s="48"/>
    </row>
    <row r="42" spans="1:14" x14ac:dyDescent="0.35">
      <c r="A42" s="47">
        <v>41</v>
      </c>
      <c r="B42" s="47">
        <f t="shared" ca="1" si="5"/>
        <v>78</v>
      </c>
      <c r="C42" s="47">
        <f t="shared" ca="1" si="6"/>
        <v>1</v>
      </c>
      <c r="D42" s="47" t="str">
        <f t="shared" ca="1" si="7"/>
        <v>f</v>
      </c>
      <c r="E42" s="47" t="str">
        <f t="shared" ca="1" si="8"/>
        <v>T0</v>
      </c>
      <c r="F42" s="48">
        <v>44335</v>
      </c>
      <c r="G42" s="47">
        <f t="shared" ca="1" si="9"/>
        <v>1</v>
      </c>
      <c r="H42" s="48">
        <v>44475</v>
      </c>
      <c r="I42" s="48" t="s">
        <v>86</v>
      </c>
      <c r="M42" s="48"/>
      <c r="N42" s="48"/>
    </row>
    <row r="43" spans="1:14" x14ac:dyDescent="0.35">
      <c r="A43" s="47">
        <v>42</v>
      </c>
      <c r="B43" s="47">
        <f t="shared" ca="1" si="5"/>
        <v>73</v>
      </c>
      <c r="C43" s="47">
        <f t="shared" ca="1" si="6"/>
        <v>1</v>
      </c>
      <c r="D43" s="47" t="str">
        <f t="shared" ca="1" si="7"/>
        <v>m</v>
      </c>
      <c r="E43" s="47" t="str">
        <f t="shared" ca="1" si="8"/>
        <v>T3</v>
      </c>
      <c r="F43" s="48">
        <v>43657</v>
      </c>
      <c r="G43" s="47">
        <f t="shared" ca="1" si="9"/>
        <v>5</v>
      </c>
      <c r="H43" s="48" t="s">
        <v>86</v>
      </c>
      <c r="I43" s="48">
        <v>43944</v>
      </c>
      <c r="M43" s="48"/>
      <c r="N43" s="48"/>
    </row>
    <row r="44" spans="1:14" x14ac:dyDescent="0.35">
      <c r="A44" s="47">
        <v>43</v>
      </c>
      <c r="B44" s="47">
        <f t="shared" ca="1" si="5"/>
        <v>75</v>
      </c>
      <c r="C44" s="47">
        <f t="shared" ca="1" si="6"/>
        <v>2</v>
      </c>
      <c r="D44" s="47" t="str">
        <f t="shared" ca="1" si="7"/>
        <v>m</v>
      </c>
      <c r="E44" s="47" t="str">
        <f t="shared" ca="1" si="8"/>
        <v>T2</v>
      </c>
      <c r="F44" s="48">
        <v>43707</v>
      </c>
      <c r="G44" s="47">
        <f t="shared" ca="1" si="9"/>
        <v>4</v>
      </c>
      <c r="H44" s="48" t="s">
        <v>86</v>
      </c>
      <c r="I44" s="48">
        <v>43868</v>
      </c>
      <c r="M44" s="48"/>
      <c r="N44" s="48"/>
    </row>
    <row r="45" spans="1:14" x14ac:dyDescent="0.35">
      <c r="A45" s="47">
        <v>44</v>
      </c>
      <c r="B45" s="47">
        <f t="shared" ca="1" si="5"/>
        <v>42</v>
      </c>
      <c r="C45" s="47">
        <f t="shared" ca="1" si="6"/>
        <v>1</v>
      </c>
      <c r="D45" s="47" t="str">
        <f t="shared" ca="1" si="7"/>
        <v>f</v>
      </c>
      <c r="E45" s="47" t="str">
        <f t="shared" ca="1" si="8"/>
        <v>T2</v>
      </c>
      <c r="F45" s="48">
        <v>44002</v>
      </c>
      <c r="G45" s="47">
        <f t="shared" ca="1" si="9"/>
        <v>2</v>
      </c>
      <c r="H45" s="48" t="s">
        <v>86</v>
      </c>
      <c r="I45" s="48">
        <v>44426</v>
      </c>
      <c r="M45" s="48"/>
      <c r="N45" s="48"/>
    </row>
    <row r="46" spans="1:14" x14ac:dyDescent="0.35">
      <c r="A46" s="47">
        <v>45</v>
      </c>
      <c r="B46" s="47">
        <f t="shared" ca="1" si="5"/>
        <v>84</v>
      </c>
      <c r="C46" s="47">
        <f t="shared" ca="1" si="6"/>
        <v>2</v>
      </c>
      <c r="D46" s="47" t="str">
        <f t="shared" ca="1" si="7"/>
        <v>m</v>
      </c>
      <c r="E46" s="47" t="str">
        <f t="shared" ca="1" si="8"/>
        <v>T2</v>
      </c>
      <c r="F46" s="48">
        <v>44191</v>
      </c>
      <c r="G46" s="47">
        <f t="shared" ca="1" si="9"/>
        <v>5</v>
      </c>
      <c r="H46" s="48">
        <v>44260</v>
      </c>
      <c r="I46" s="48" t="s">
        <v>86</v>
      </c>
      <c r="M46" s="48"/>
      <c r="N46" s="48"/>
    </row>
    <row r="47" spans="1:14" x14ac:dyDescent="0.35">
      <c r="A47" s="47">
        <v>46</v>
      </c>
      <c r="B47" s="47">
        <f t="shared" ca="1" si="5"/>
        <v>49</v>
      </c>
      <c r="C47" s="47">
        <f t="shared" ca="1" si="6"/>
        <v>1</v>
      </c>
      <c r="D47" s="47" t="str">
        <f t="shared" ca="1" si="7"/>
        <v>f</v>
      </c>
      <c r="E47" s="47" t="str">
        <f t="shared" ca="1" si="8"/>
        <v>T3</v>
      </c>
      <c r="F47" s="48">
        <v>44110</v>
      </c>
      <c r="G47" s="47">
        <f t="shared" ca="1" si="9"/>
        <v>0</v>
      </c>
      <c r="H47" s="48" t="s">
        <v>86</v>
      </c>
      <c r="I47" s="48">
        <v>44384</v>
      </c>
      <c r="M47" s="48"/>
      <c r="N47" s="48"/>
    </row>
    <row r="48" spans="1:14" x14ac:dyDescent="0.35">
      <c r="A48" s="47">
        <v>47</v>
      </c>
      <c r="B48" s="47">
        <f t="shared" ca="1" si="5"/>
        <v>56</v>
      </c>
      <c r="C48" s="47">
        <f t="shared" ca="1" si="6"/>
        <v>1</v>
      </c>
      <c r="D48" s="47" t="str">
        <f t="shared" ca="1" si="7"/>
        <v>m</v>
      </c>
      <c r="E48" s="47" t="str">
        <f t="shared" ca="1" si="8"/>
        <v>T1</v>
      </c>
      <c r="F48" s="48">
        <v>43986</v>
      </c>
      <c r="G48" s="47">
        <f t="shared" ca="1" si="9"/>
        <v>1</v>
      </c>
      <c r="H48" s="48">
        <v>43993</v>
      </c>
      <c r="I48" s="48" t="s">
        <v>86</v>
      </c>
      <c r="M48" s="48"/>
      <c r="N48" s="48"/>
    </row>
    <row r="49" spans="1:14" x14ac:dyDescent="0.35">
      <c r="A49" s="47">
        <v>48</v>
      </c>
      <c r="B49" s="47">
        <f t="shared" ca="1" si="5"/>
        <v>59</v>
      </c>
      <c r="C49" s="47">
        <f t="shared" ca="1" si="6"/>
        <v>2</v>
      </c>
      <c r="D49" s="47" t="str">
        <f t="shared" ca="1" si="7"/>
        <v>m</v>
      </c>
      <c r="E49" s="47" t="str">
        <f t="shared" ca="1" si="8"/>
        <v>T4</v>
      </c>
      <c r="F49" s="48">
        <v>43845</v>
      </c>
      <c r="G49" s="47">
        <f t="shared" ca="1" si="9"/>
        <v>1</v>
      </c>
      <c r="H49" s="48">
        <v>44117</v>
      </c>
      <c r="I49" s="48" t="s">
        <v>86</v>
      </c>
      <c r="M49" s="48"/>
      <c r="N49" s="48"/>
    </row>
    <row r="50" spans="1:14" x14ac:dyDescent="0.35">
      <c r="A50" s="47">
        <v>49</v>
      </c>
      <c r="B50" s="47">
        <f t="shared" ca="1" si="5"/>
        <v>41</v>
      </c>
      <c r="C50" s="47">
        <f t="shared" ca="1" si="6"/>
        <v>2</v>
      </c>
      <c r="D50" s="47" t="str">
        <f t="shared" ca="1" si="7"/>
        <v>f</v>
      </c>
      <c r="E50" s="47" t="str">
        <f t="shared" ca="1" si="8"/>
        <v>T3</v>
      </c>
      <c r="F50" s="48">
        <v>43551</v>
      </c>
      <c r="G50" s="47">
        <f t="shared" ca="1" si="9"/>
        <v>3</v>
      </c>
      <c r="H50" s="48">
        <v>44098</v>
      </c>
      <c r="I50" s="48" t="s">
        <v>86</v>
      </c>
      <c r="M50" s="48"/>
      <c r="N50" s="48"/>
    </row>
    <row r="51" spans="1:14" x14ac:dyDescent="0.35">
      <c r="A51" s="47">
        <v>50</v>
      </c>
      <c r="B51" s="47">
        <f t="shared" ca="1" si="5"/>
        <v>83</v>
      </c>
      <c r="C51" s="47">
        <f t="shared" ca="1" si="6"/>
        <v>1</v>
      </c>
      <c r="D51" s="47" t="str">
        <f t="shared" ca="1" si="7"/>
        <v>f</v>
      </c>
      <c r="E51" s="47" t="str">
        <f t="shared" ca="1" si="8"/>
        <v>T1</v>
      </c>
      <c r="F51" s="48">
        <v>44412</v>
      </c>
      <c r="G51" s="47">
        <f t="shared" ca="1" si="9"/>
        <v>2</v>
      </c>
      <c r="H51" s="48" t="s">
        <v>86</v>
      </c>
      <c r="I51" s="48">
        <v>44480</v>
      </c>
      <c r="M51" s="48"/>
      <c r="N51" s="48"/>
    </row>
    <row r="52" spans="1:14" x14ac:dyDescent="0.35">
      <c r="A52" s="47">
        <v>51</v>
      </c>
      <c r="B52" s="47">
        <f t="shared" ca="1" si="5"/>
        <v>52</v>
      </c>
      <c r="C52" s="47">
        <f t="shared" ca="1" si="6"/>
        <v>1</v>
      </c>
      <c r="D52" s="47" t="str">
        <f t="shared" ca="1" si="7"/>
        <v>m</v>
      </c>
      <c r="E52" s="47" t="str">
        <f t="shared" ca="1" si="8"/>
        <v>T0</v>
      </c>
      <c r="F52" s="48">
        <v>44354</v>
      </c>
      <c r="G52" s="47">
        <f t="shared" ca="1" si="9"/>
        <v>5</v>
      </c>
      <c r="H52" s="48" t="s">
        <v>86</v>
      </c>
      <c r="I52" s="48">
        <v>44423</v>
      </c>
      <c r="M52" s="48"/>
      <c r="N52" s="48"/>
    </row>
    <row r="53" spans="1:14" x14ac:dyDescent="0.35">
      <c r="A53" s="47">
        <v>52</v>
      </c>
      <c r="B53" s="47">
        <f t="shared" ca="1" si="5"/>
        <v>80</v>
      </c>
      <c r="C53" s="47">
        <f t="shared" ca="1" si="6"/>
        <v>1</v>
      </c>
      <c r="D53" s="47" t="str">
        <f t="shared" ca="1" si="7"/>
        <v>m</v>
      </c>
      <c r="E53" s="47" t="str">
        <f t="shared" ca="1" si="8"/>
        <v>T1</v>
      </c>
      <c r="F53" s="48">
        <v>43483</v>
      </c>
      <c r="G53" s="47">
        <f t="shared" ca="1" si="9"/>
        <v>4</v>
      </c>
      <c r="H53" s="48" t="s">
        <v>86</v>
      </c>
      <c r="I53" s="48">
        <v>43892</v>
      </c>
      <c r="M53" s="48"/>
      <c r="N53" s="48"/>
    </row>
    <row r="54" spans="1:14" x14ac:dyDescent="0.35">
      <c r="A54" s="47">
        <v>53</v>
      </c>
      <c r="B54" s="47">
        <f t="shared" ca="1" si="5"/>
        <v>79</v>
      </c>
      <c r="C54" s="47">
        <f t="shared" ca="1" si="6"/>
        <v>1</v>
      </c>
      <c r="D54" s="47" t="str">
        <f t="shared" ca="1" si="7"/>
        <v>m</v>
      </c>
      <c r="E54" s="47" t="str">
        <f t="shared" ca="1" si="8"/>
        <v>T4</v>
      </c>
      <c r="F54" s="48">
        <v>43681</v>
      </c>
      <c r="G54" s="47">
        <f t="shared" ca="1" si="9"/>
        <v>5</v>
      </c>
      <c r="H54" s="48">
        <v>44146</v>
      </c>
      <c r="I54" s="48" t="s">
        <v>86</v>
      </c>
      <c r="M54" s="48"/>
      <c r="N54" s="48"/>
    </row>
    <row r="55" spans="1:14" x14ac:dyDescent="0.35">
      <c r="A55" s="47">
        <v>54</v>
      </c>
      <c r="B55" s="47">
        <f t="shared" ca="1" si="5"/>
        <v>73</v>
      </c>
      <c r="C55" s="47">
        <f t="shared" ca="1" si="6"/>
        <v>2</v>
      </c>
      <c r="D55" s="47" t="str">
        <f t="shared" ca="1" si="7"/>
        <v>m</v>
      </c>
      <c r="E55" s="47" t="str">
        <f t="shared" ca="1" si="8"/>
        <v>T4</v>
      </c>
      <c r="F55" s="48">
        <v>43692</v>
      </c>
      <c r="G55" s="47">
        <f t="shared" ca="1" si="9"/>
        <v>1</v>
      </c>
      <c r="H55" s="48" t="s">
        <v>86</v>
      </c>
      <c r="I55" s="48">
        <v>44447</v>
      </c>
      <c r="M55" s="48"/>
      <c r="N55" s="48"/>
    </row>
    <row r="56" spans="1:14" x14ac:dyDescent="0.35">
      <c r="A56" s="47">
        <v>55</v>
      </c>
      <c r="B56" s="47">
        <f t="shared" ca="1" si="5"/>
        <v>63</v>
      </c>
      <c r="C56" s="47">
        <f t="shared" ca="1" si="6"/>
        <v>1</v>
      </c>
      <c r="D56" s="47" t="str">
        <f t="shared" ca="1" si="7"/>
        <v>f</v>
      </c>
      <c r="E56" s="47" t="str">
        <f t="shared" ca="1" si="8"/>
        <v>T1</v>
      </c>
      <c r="F56" s="48">
        <v>44055</v>
      </c>
      <c r="G56" s="47">
        <f t="shared" ca="1" si="9"/>
        <v>4</v>
      </c>
      <c r="H56" s="48" t="s">
        <v>86</v>
      </c>
      <c r="I56" s="48">
        <v>44191</v>
      </c>
      <c r="M56" s="48"/>
      <c r="N56" s="48"/>
    </row>
    <row r="57" spans="1:14" x14ac:dyDescent="0.35">
      <c r="A57" s="47">
        <v>56</v>
      </c>
      <c r="B57" s="47">
        <f t="shared" ca="1" si="5"/>
        <v>40</v>
      </c>
      <c r="C57" s="47">
        <f t="shared" ca="1" si="6"/>
        <v>2</v>
      </c>
      <c r="D57" s="47" t="str">
        <f t="shared" ca="1" si="7"/>
        <v>m</v>
      </c>
      <c r="E57" s="47" t="str">
        <f t="shared" ca="1" si="8"/>
        <v>T4</v>
      </c>
      <c r="F57" s="48">
        <v>44320</v>
      </c>
      <c r="G57" s="47">
        <f t="shared" ca="1" si="9"/>
        <v>2</v>
      </c>
      <c r="H57" s="48" t="s">
        <v>86</v>
      </c>
      <c r="I57" s="48">
        <v>44320</v>
      </c>
      <c r="M57" s="48"/>
      <c r="N57" s="48"/>
    </row>
    <row r="58" spans="1:14" x14ac:dyDescent="0.35">
      <c r="A58" s="47">
        <v>57</v>
      </c>
      <c r="B58" s="47">
        <f t="shared" ca="1" si="5"/>
        <v>56</v>
      </c>
      <c r="C58" s="47">
        <f t="shared" ca="1" si="6"/>
        <v>1</v>
      </c>
      <c r="D58" s="47" t="str">
        <f t="shared" ca="1" si="7"/>
        <v>f</v>
      </c>
      <c r="E58" s="47" t="str">
        <f t="shared" ca="1" si="8"/>
        <v>T3</v>
      </c>
      <c r="F58" s="48">
        <v>44287</v>
      </c>
      <c r="G58" s="47">
        <f t="shared" ca="1" si="9"/>
        <v>0</v>
      </c>
      <c r="H58" s="48">
        <v>44417</v>
      </c>
      <c r="I58" s="48" t="s">
        <v>86</v>
      </c>
      <c r="M58" s="48"/>
      <c r="N58" s="48"/>
    </row>
    <row r="59" spans="1:14" x14ac:dyDescent="0.35">
      <c r="A59" s="47">
        <v>58</v>
      </c>
      <c r="B59" s="47">
        <f t="shared" ca="1" si="5"/>
        <v>67</v>
      </c>
      <c r="C59" s="47">
        <f t="shared" ca="1" si="6"/>
        <v>2</v>
      </c>
      <c r="D59" s="47" t="str">
        <f t="shared" ca="1" si="7"/>
        <v>m</v>
      </c>
      <c r="E59" s="47" t="str">
        <f t="shared" ca="1" si="8"/>
        <v>T4</v>
      </c>
      <c r="F59" s="48">
        <v>43699</v>
      </c>
      <c r="G59" s="47">
        <f t="shared" ca="1" si="9"/>
        <v>4</v>
      </c>
      <c r="H59" s="48" t="s">
        <v>86</v>
      </c>
      <c r="I59" s="48">
        <v>43749</v>
      </c>
      <c r="M59" s="48"/>
      <c r="N59" s="48"/>
    </row>
    <row r="60" spans="1:14" x14ac:dyDescent="0.35">
      <c r="A60" s="47">
        <v>59</v>
      </c>
      <c r="B60" s="47">
        <f t="shared" ca="1" si="5"/>
        <v>82</v>
      </c>
      <c r="C60" s="47">
        <f t="shared" ca="1" si="6"/>
        <v>1</v>
      </c>
      <c r="D60" s="47" t="str">
        <f t="shared" ca="1" si="7"/>
        <v>f</v>
      </c>
      <c r="E60" s="47" t="str">
        <f t="shared" ca="1" si="8"/>
        <v>T2</v>
      </c>
      <c r="F60" s="48">
        <v>44461</v>
      </c>
      <c r="G60" s="47">
        <f t="shared" ca="1" si="9"/>
        <v>3</v>
      </c>
      <c r="H60" s="48">
        <v>44479</v>
      </c>
      <c r="I60" s="48" t="s">
        <v>86</v>
      </c>
      <c r="M60" s="48"/>
      <c r="N60" s="48"/>
    </row>
    <row r="61" spans="1:14" x14ac:dyDescent="0.35">
      <c r="A61" s="47">
        <v>60</v>
      </c>
      <c r="B61" s="47">
        <f t="shared" ca="1" si="5"/>
        <v>63</v>
      </c>
      <c r="C61" s="47">
        <f t="shared" ca="1" si="6"/>
        <v>1</v>
      </c>
      <c r="D61" s="47" t="str">
        <f t="shared" ca="1" si="7"/>
        <v>m</v>
      </c>
      <c r="E61" s="47" t="str">
        <f t="shared" ca="1" si="8"/>
        <v>T3</v>
      </c>
      <c r="F61" s="48">
        <v>43579</v>
      </c>
      <c r="G61" s="47">
        <f t="shared" ca="1" si="9"/>
        <v>1</v>
      </c>
      <c r="H61" s="48">
        <v>44125</v>
      </c>
      <c r="I61" s="48" t="s">
        <v>86</v>
      </c>
      <c r="M61" s="48"/>
      <c r="N61" s="48"/>
    </row>
    <row r="62" spans="1:14" x14ac:dyDescent="0.35">
      <c r="A62" s="47">
        <v>61</v>
      </c>
      <c r="B62" s="47">
        <f t="shared" ca="1" si="5"/>
        <v>51</v>
      </c>
      <c r="C62" s="47">
        <f t="shared" ca="1" si="6"/>
        <v>1</v>
      </c>
      <c r="D62" s="47" t="str">
        <f t="shared" ca="1" si="7"/>
        <v>m</v>
      </c>
      <c r="E62" s="47" t="str">
        <f t="shared" ca="1" si="8"/>
        <v>T0</v>
      </c>
      <c r="F62" s="48">
        <v>43715</v>
      </c>
      <c r="G62" s="47">
        <f t="shared" ca="1" si="9"/>
        <v>4</v>
      </c>
      <c r="H62" s="48">
        <v>44238</v>
      </c>
      <c r="I62" s="48" t="s">
        <v>86</v>
      </c>
      <c r="M62" s="48"/>
      <c r="N62" s="48"/>
    </row>
    <row r="63" spans="1:14" x14ac:dyDescent="0.35">
      <c r="A63" s="47">
        <v>62</v>
      </c>
      <c r="B63" s="47">
        <f t="shared" ca="1" si="5"/>
        <v>57</v>
      </c>
      <c r="C63" s="47">
        <f t="shared" ca="1" si="6"/>
        <v>1</v>
      </c>
      <c r="D63" s="47" t="str">
        <f t="shared" ca="1" si="7"/>
        <v>m</v>
      </c>
      <c r="E63" s="47" t="str">
        <f t="shared" ca="1" si="8"/>
        <v>T1</v>
      </c>
      <c r="F63" s="48">
        <v>44006</v>
      </c>
      <c r="G63" s="47">
        <f t="shared" ca="1" si="9"/>
        <v>0</v>
      </c>
      <c r="H63" s="48">
        <v>44314</v>
      </c>
      <c r="I63" s="48" t="s">
        <v>86</v>
      </c>
      <c r="M63" s="48"/>
      <c r="N63" s="48"/>
    </row>
    <row r="64" spans="1:14" x14ac:dyDescent="0.35">
      <c r="A64" s="47">
        <v>63</v>
      </c>
      <c r="B64" s="47">
        <f t="shared" ca="1" si="5"/>
        <v>65</v>
      </c>
      <c r="C64" s="47">
        <f t="shared" ca="1" si="6"/>
        <v>1</v>
      </c>
      <c r="D64" s="47" t="str">
        <f t="shared" ca="1" si="7"/>
        <v>m</v>
      </c>
      <c r="E64" s="47" t="str">
        <f t="shared" ca="1" si="8"/>
        <v>T3</v>
      </c>
      <c r="F64" s="48">
        <v>44048</v>
      </c>
      <c r="G64" s="47">
        <f t="shared" ca="1" si="9"/>
        <v>1</v>
      </c>
      <c r="H64" s="48">
        <v>44369</v>
      </c>
      <c r="I64" s="48" t="s">
        <v>86</v>
      </c>
      <c r="M64" s="48"/>
      <c r="N64" s="48"/>
    </row>
    <row r="65" spans="1:14" x14ac:dyDescent="0.35">
      <c r="A65" s="47">
        <v>64</v>
      </c>
      <c r="B65" s="47">
        <f t="shared" ca="1" si="5"/>
        <v>49</v>
      </c>
      <c r="C65" s="47">
        <f t="shared" ca="1" si="6"/>
        <v>1</v>
      </c>
      <c r="D65" s="47" t="str">
        <f t="shared" ca="1" si="7"/>
        <v>m</v>
      </c>
      <c r="E65" s="47" t="str">
        <f t="shared" ca="1" si="8"/>
        <v>T2</v>
      </c>
      <c r="F65" s="48">
        <v>43967</v>
      </c>
      <c r="G65" s="47">
        <f t="shared" ca="1" si="9"/>
        <v>4</v>
      </c>
      <c r="H65" s="48" t="s">
        <v>86</v>
      </c>
      <c r="I65" s="48">
        <v>44256</v>
      </c>
      <c r="M65" s="48"/>
      <c r="N65" s="48"/>
    </row>
    <row r="66" spans="1:14" x14ac:dyDescent="0.35">
      <c r="A66" s="47">
        <v>65</v>
      </c>
      <c r="B66" s="47">
        <f t="shared" ref="B66:B97" ca="1" si="10">RANDBETWEEN(40,85)</f>
        <v>70</v>
      </c>
      <c r="C66" s="47">
        <f t="shared" ref="C66:C97" ca="1" si="11">RANDBETWEEN(1,2)</f>
        <v>1</v>
      </c>
      <c r="D66" s="47" t="str">
        <f t="shared" ref="D66:D97" ca="1" si="12">IF(C65=1,"m","f")</f>
        <v>m</v>
      </c>
      <c r="E66" s="47" t="str">
        <f t="shared" ref="E66:E97" ca="1" si="13">CONCATENATE("T",RANDBETWEEN(0,4))</f>
        <v>T4</v>
      </c>
      <c r="F66" s="48">
        <v>43696</v>
      </c>
      <c r="G66" s="47">
        <f t="shared" ref="G66:G97" ca="1" si="14">RANDBETWEEN(0,5)</f>
        <v>3</v>
      </c>
      <c r="H66" s="48" t="s">
        <v>86</v>
      </c>
      <c r="I66" s="48">
        <v>44181</v>
      </c>
      <c r="M66" s="48"/>
      <c r="N66" s="48"/>
    </row>
    <row r="67" spans="1:14" x14ac:dyDescent="0.35">
      <c r="A67" s="47">
        <v>66</v>
      </c>
      <c r="B67" s="47">
        <f t="shared" ca="1" si="10"/>
        <v>56</v>
      </c>
      <c r="C67" s="47">
        <f t="shared" ca="1" si="11"/>
        <v>2</v>
      </c>
      <c r="D67" s="47" t="str">
        <f t="shared" ca="1" si="12"/>
        <v>m</v>
      </c>
      <c r="E67" s="47" t="str">
        <f t="shared" ca="1" si="13"/>
        <v>T0</v>
      </c>
      <c r="F67" s="48">
        <v>43963</v>
      </c>
      <c r="G67" s="47">
        <f t="shared" ca="1" si="14"/>
        <v>1</v>
      </c>
      <c r="H67" s="48">
        <v>44367</v>
      </c>
      <c r="I67" s="48" t="s">
        <v>86</v>
      </c>
      <c r="M67" s="48"/>
      <c r="N67" s="48"/>
    </row>
    <row r="68" spans="1:14" x14ac:dyDescent="0.35">
      <c r="A68" s="47">
        <v>67</v>
      </c>
      <c r="B68" s="47">
        <f t="shared" ca="1" si="10"/>
        <v>50</v>
      </c>
      <c r="C68" s="47">
        <f t="shared" ca="1" si="11"/>
        <v>1</v>
      </c>
      <c r="D68" s="47" t="str">
        <f t="shared" ca="1" si="12"/>
        <v>f</v>
      </c>
      <c r="E68" s="47" t="str">
        <f t="shared" ca="1" si="13"/>
        <v>T2</v>
      </c>
      <c r="F68" s="48">
        <v>44423</v>
      </c>
      <c r="G68" s="47">
        <f t="shared" ca="1" si="14"/>
        <v>4</v>
      </c>
      <c r="H68" s="48" t="s">
        <v>86</v>
      </c>
      <c r="I68" s="48">
        <v>44451</v>
      </c>
      <c r="M68" s="48"/>
      <c r="N68" s="48"/>
    </row>
    <row r="69" spans="1:14" x14ac:dyDescent="0.35">
      <c r="A69" s="47">
        <v>68</v>
      </c>
      <c r="B69" s="47">
        <f t="shared" ca="1" si="10"/>
        <v>80</v>
      </c>
      <c r="C69" s="47">
        <f t="shared" ca="1" si="11"/>
        <v>1</v>
      </c>
      <c r="D69" s="47" t="str">
        <f t="shared" ca="1" si="12"/>
        <v>m</v>
      </c>
      <c r="E69" s="47" t="str">
        <f t="shared" ca="1" si="13"/>
        <v>T3</v>
      </c>
      <c r="F69" s="48">
        <v>43871</v>
      </c>
      <c r="G69" s="47">
        <f t="shared" ca="1" si="14"/>
        <v>3</v>
      </c>
      <c r="H69" s="48">
        <v>44160</v>
      </c>
      <c r="I69" s="48" t="s">
        <v>86</v>
      </c>
      <c r="M69" s="48"/>
      <c r="N69" s="48"/>
    </row>
    <row r="70" spans="1:14" x14ac:dyDescent="0.35">
      <c r="A70" s="47">
        <v>69</v>
      </c>
      <c r="B70" s="47">
        <f t="shared" ca="1" si="10"/>
        <v>43</v>
      </c>
      <c r="C70" s="47">
        <f t="shared" ca="1" si="11"/>
        <v>1</v>
      </c>
      <c r="D70" s="47" t="str">
        <f t="shared" ca="1" si="12"/>
        <v>m</v>
      </c>
      <c r="E70" s="47" t="str">
        <f t="shared" ca="1" si="13"/>
        <v>T4</v>
      </c>
      <c r="F70" s="48">
        <v>43873</v>
      </c>
      <c r="G70" s="47">
        <f t="shared" ca="1" si="14"/>
        <v>2</v>
      </c>
      <c r="H70" s="48" t="s">
        <v>86</v>
      </c>
      <c r="I70" s="48">
        <v>44353</v>
      </c>
      <c r="M70" s="48"/>
      <c r="N70" s="48"/>
    </row>
    <row r="71" spans="1:14" x14ac:dyDescent="0.35">
      <c r="A71" s="47">
        <v>70</v>
      </c>
      <c r="B71" s="47">
        <f t="shared" ca="1" si="10"/>
        <v>75</v>
      </c>
      <c r="C71" s="47">
        <f t="shared" ca="1" si="11"/>
        <v>1</v>
      </c>
      <c r="D71" s="47" t="str">
        <f t="shared" ca="1" si="12"/>
        <v>m</v>
      </c>
      <c r="E71" s="47" t="str">
        <f t="shared" ca="1" si="13"/>
        <v>T1</v>
      </c>
      <c r="F71" s="48">
        <v>44356</v>
      </c>
      <c r="G71" s="47">
        <f t="shared" ca="1" si="14"/>
        <v>4</v>
      </c>
      <c r="H71" s="48" t="s">
        <v>86</v>
      </c>
      <c r="I71" s="48">
        <v>44430</v>
      </c>
      <c r="M71" s="48"/>
      <c r="N71" s="48"/>
    </row>
    <row r="72" spans="1:14" x14ac:dyDescent="0.35">
      <c r="A72" s="47">
        <v>71</v>
      </c>
      <c r="B72" s="47">
        <f t="shared" ca="1" si="10"/>
        <v>58</v>
      </c>
      <c r="C72" s="47">
        <f t="shared" ca="1" si="11"/>
        <v>1</v>
      </c>
      <c r="D72" s="47" t="str">
        <f t="shared" ca="1" si="12"/>
        <v>m</v>
      </c>
      <c r="E72" s="47" t="str">
        <f t="shared" ca="1" si="13"/>
        <v>T0</v>
      </c>
      <c r="F72" s="48">
        <v>44241</v>
      </c>
      <c r="G72" s="47">
        <f t="shared" ca="1" si="14"/>
        <v>0</v>
      </c>
      <c r="H72" s="48" t="s">
        <v>86</v>
      </c>
      <c r="I72" s="48">
        <v>44406</v>
      </c>
      <c r="M72" s="48"/>
      <c r="N72" s="48"/>
    </row>
    <row r="73" spans="1:14" x14ac:dyDescent="0.35">
      <c r="A73" s="47">
        <v>72</v>
      </c>
      <c r="B73" s="47">
        <f t="shared" ca="1" si="10"/>
        <v>53</v>
      </c>
      <c r="C73" s="47">
        <f t="shared" ca="1" si="11"/>
        <v>2</v>
      </c>
      <c r="D73" s="47" t="str">
        <f t="shared" ca="1" si="12"/>
        <v>m</v>
      </c>
      <c r="E73" s="47" t="str">
        <f t="shared" ca="1" si="13"/>
        <v>T4</v>
      </c>
      <c r="F73" s="48">
        <v>43571</v>
      </c>
      <c r="G73" s="47">
        <f t="shared" ca="1" si="14"/>
        <v>3</v>
      </c>
      <c r="H73" s="48">
        <v>44259</v>
      </c>
      <c r="I73" s="48" t="s">
        <v>86</v>
      </c>
      <c r="M73" s="48"/>
      <c r="N73" s="48"/>
    </row>
    <row r="74" spans="1:14" x14ac:dyDescent="0.35">
      <c r="A74" s="47">
        <v>73</v>
      </c>
      <c r="B74" s="47">
        <f t="shared" ca="1" si="10"/>
        <v>45</v>
      </c>
      <c r="C74" s="47">
        <f t="shared" ca="1" si="11"/>
        <v>2</v>
      </c>
      <c r="D74" s="47" t="str">
        <f t="shared" ca="1" si="12"/>
        <v>f</v>
      </c>
      <c r="E74" s="47" t="str">
        <f t="shared" ca="1" si="13"/>
        <v>T2</v>
      </c>
      <c r="F74" s="48">
        <v>43856</v>
      </c>
      <c r="G74" s="47">
        <f t="shared" ca="1" si="14"/>
        <v>2</v>
      </c>
      <c r="H74" s="48" t="s">
        <v>86</v>
      </c>
      <c r="I74" s="48">
        <v>44216</v>
      </c>
      <c r="M74" s="48"/>
      <c r="N74" s="48"/>
    </row>
    <row r="75" spans="1:14" x14ac:dyDescent="0.35">
      <c r="A75" s="47">
        <v>74</v>
      </c>
      <c r="B75" s="47">
        <f t="shared" ca="1" si="10"/>
        <v>47</v>
      </c>
      <c r="C75" s="47">
        <f t="shared" ca="1" si="11"/>
        <v>1</v>
      </c>
      <c r="D75" s="47" t="str">
        <f t="shared" ca="1" si="12"/>
        <v>f</v>
      </c>
      <c r="E75" s="47" t="str">
        <f t="shared" ca="1" si="13"/>
        <v>T0</v>
      </c>
      <c r="F75" s="48">
        <v>43679</v>
      </c>
      <c r="G75" s="47">
        <f t="shared" ca="1" si="14"/>
        <v>0</v>
      </c>
      <c r="H75" s="48">
        <v>44096</v>
      </c>
      <c r="I75" s="48" t="s">
        <v>86</v>
      </c>
      <c r="M75" s="48"/>
      <c r="N75" s="48"/>
    </row>
    <row r="76" spans="1:14" x14ac:dyDescent="0.35">
      <c r="A76" s="47">
        <v>75</v>
      </c>
      <c r="B76" s="47">
        <f t="shared" ca="1" si="10"/>
        <v>60</v>
      </c>
      <c r="C76" s="47">
        <f t="shared" ca="1" si="11"/>
        <v>1</v>
      </c>
      <c r="D76" s="47" t="str">
        <f t="shared" ca="1" si="12"/>
        <v>m</v>
      </c>
      <c r="E76" s="47" t="str">
        <f t="shared" ca="1" si="13"/>
        <v>T0</v>
      </c>
      <c r="F76" s="48">
        <v>44270</v>
      </c>
      <c r="G76" s="47">
        <f t="shared" ca="1" si="14"/>
        <v>4</v>
      </c>
      <c r="H76" s="48" t="s">
        <v>86</v>
      </c>
      <c r="I76" s="48">
        <v>44462</v>
      </c>
      <c r="M76" s="48"/>
      <c r="N76" s="48"/>
    </row>
    <row r="77" spans="1:14" x14ac:dyDescent="0.35">
      <c r="A77" s="47">
        <v>76</v>
      </c>
      <c r="B77" s="47">
        <f t="shared" ca="1" si="10"/>
        <v>82</v>
      </c>
      <c r="C77" s="47">
        <f t="shared" ca="1" si="11"/>
        <v>2</v>
      </c>
      <c r="D77" s="47" t="str">
        <f t="shared" ca="1" si="12"/>
        <v>m</v>
      </c>
      <c r="E77" s="47" t="str">
        <f t="shared" ca="1" si="13"/>
        <v>T0</v>
      </c>
      <c r="F77" s="48">
        <v>44390</v>
      </c>
      <c r="G77" s="47">
        <f t="shared" ca="1" si="14"/>
        <v>0</v>
      </c>
      <c r="H77" s="48">
        <v>44437</v>
      </c>
      <c r="I77" s="48" t="s">
        <v>86</v>
      </c>
      <c r="M77" s="48"/>
      <c r="N77" s="48"/>
    </row>
    <row r="78" spans="1:14" x14ac:dyDescent="0.35">
      <c r="A78" s="47">
        <v>77</v>
      </c>
      <c r="B78" s="47">
        <f t="shared" ca="1" si="10"/>
        <v>81</v>
      </c>
      <c r="C78" s="47">
        <f t="shared" ca="1" si="11"/>
        <v>2</v>
      </c>
      <c r="D78" s="47" t="str">
        <f t="shared" ca="1" si="12"/>
        <v>f</v>
      </c>
      <c r="E78" s="47" t="str">
        <f t="shared" ca="1" si="13"/>
        <v>T1</v>
      </c>
      <c r="F78" s="48">
        <v>43721</v>
      </c>
      <c r="G78" s="47">
        <f t="shared" ca="1" si="14"/>
        <v>0</v>
      </c>
      <c r="H78" s="48" t="s">
        <v>86</v>
      </c>
      <c r="I78" s="48">
        <v>44013</v>
      </c>
      <c r="M78" s="48"/>
      <c r="N78" s="48"/>
    </row>
    <row r="79" spans="1:14" x14ac:dyDescent="0.35">
      <c r="A79" s="47">
        <v>78</v>
      </c>
      <c r="B79" s="47">
        <f t="shared" ca="1" si="10"/>
        <v>55</v>
      </c>
      <c r="C79" s="47">
        <f t="shared" ca="1" si="11"/>
        <v>2</v>
      </c>
      <c r="D79" s="47" t="str">
        <f t="shared" ca="1" si="12"/>
        <v>f</v>
      </c>
      <c r="E79" s="47" t="str">
        <f t="shared" ca="1" si="13"/>
        <v>T3</v>
      </c>
      <c r="F79" s="48">
        <v>44316</v>
      </c>
      <c r="G79" s="47">
        <f t="shared" ca="1" si="14"/>
        <v>5</v>
      </c>
      <c r="H79" s="48">
        <v>44369</v>
      </c>
      <c r="I79" s="48" t="s">
        <v>86</v>
      </c>
      <c r="M79" s="48"/>
      <c r="N79" s="48"/>
    </row>
    <row r="80" spans="1:14" x14ac:dyDescent="0.35">
      <c r="A80" s="47">
        <v>79</v>
      </c>
      <c r="B80" s="47">
        <f t="shared" ca="1" si="10"/>
        <v>41</v>
      </c>
      <c r="C80" s="47">
        <f t="shared" ca="1" si="11"/>
        <v>2</v>
      </c>
      <c r="D80" s="47" t="str">
        <f t="shared" ca="1" si="12"/>
        <v>f</v>
      </c>
      <c r="E80" s="47" t="str">
        <f t="shared" ca="1" si="13"/>
        <v>T3</v>
      </c>
      <c r="F80" s="48">
        <v>44059</v>
      </c>
      <c r="G80" s="47">
        <f t="shared" ca="1" si="14"/>
        <v>5</v>
      </c>
      <c r="H80" s="48">
        <v>44405</v>
      </c>
      <c r="I80" s="48" t="s">
        <v>86</v>
      </c>
      <c r="M80" s="48"/>
      <c r="N80" s="48"/>
    </row>
    <row r="81" spans="1:14" x14ac:dyDescent="0.35">
      <c r="A81" s="47">
        <v>80</v>
      </c>
      <c r="B81" s="47">
        <f t="shared" ca="1" si="10"/>
        <v>56</v>
      </c>
      <c r="C81" s="47">
        <f t="shared" ca="1" si="11"/>
        <v>2</v>
      </c>
      <c r="D81" s="47" t="str">
        <f t="shared" ca="1" si="12"/>
        <v>f</v>
      </c>
      <c r="E81" s="47" t="str">
        <f t="shared" ca="1" si="13"/>
        <v>T2</v>
      </c>
      <c r="F81" s="48">
        <v>43585</v>
      </c>
      <c r="G81" s="47">
        <f t="shared" ca="1" si="14"/>
        <v>0</v>
      </c>
      <c r="H81" s="48" t="s">
        <v>86</v>
      </c>
      <c r="I81" s="48">
        <v>43882</v>
      </c>
      <c r="M81" s="48"/>
      <c r="N81" s="48"/>
    </row>
    <row r="82" spans="1:14" x14ac:dyDescent="0.35">
      <c r="A82" s="47">
        <v>81</v>
      </c>
      <c r="B82" s="47">
        <f t="shared" ca="1" si="10"/>
        <v>76</v>
      </c>
      <c r="C82" s="47">
        <f t="shared" ca="1" si="11"/>
        <v>2</v>
      </c>
      <c r="D82" s="47" t="str">
        <f t="shared" ca="1" si="12"/>
        <v>f</v>
      </c>
      <c r="E82" s="47" t="str">
        <f t="shared" ca="1" si="13"/>
        <v>T0</v>
      </c>
      <c r="F82" s="48">
        <v>43490</v>
      </c>
      <c r="G82" s="47">
        <f t="shared" ca="1" si="14"/>
        <v>2</v>
      </c>
      <c r="H82" s="48">
        <v>43608</v>
      </c>
      <c r="I82" s="48" t="s">
        <v>86</v>
      </c>
      <c r="M82" s="48"/>
      <c r="N82" s="48"/>
    </row>
    <row r="83" spans="1:14" x14ac:dyDescent="0.35">
      <c r="A83" s="47">
        <v>82</v>
      </c>
      <c r="B83" s="47">
        <f t="shared" ca="1" si="10"/>
        <v>49</v>
      </c>
      <c r="C83" s="47">
        <f t="shared" ca="1" si="11"/>
        <v>1</v>
      </c>
      <c r="D83" s="47" t="str">
        <f t="shared" ca="1" si="12"/>
        <v>f</v>
      </c>
      <c r="E83" s="47" t="str">
        <f t="shared" ca="1" si="13"/>
        <v>T4</v>
      </c>
      <c r="F83" s="48">
        <v>43721</v>
      </c>
      <c r="G83" s="47">
        <f t="shared" ca="1" si="14"/>
        <v>4</v>
      </c>
      <c r="H83" s="48">
        <v>44447</v>
      </c>
      <c r="I83" s="48" t="s">
        <v>86</v>
      </c>
      <c r="M83" s="48"/>
      <c r="N83" s="48"/>
    </row>
    <row r="84" spans="1:14" x14ac:dyDescent="0.35">
      <c r="A84" s="47">
        <v>83</v>
      </c>
      <c r="B84" s="47">
        <f t="shared" ca="1" si="10"/>
        <v>82</v>
      </c>
      <c r="C84" s="47">
        <f t="shared" ca="1" si="11"/>
        <v>1</v>
      </c>
      <c r="D84" s="47" t="str">
        <f t="shared" ca="1" si="12"/>
        <v>m</v>
      </c>
      <c r="E84" s="47" t="str">
        <f t="shared" ca="1" si="13"/>
        <v>T2</v>
      </c>
      <c r="F84" s="48">
        <v>43594</v>
      </c>
      <c r="G84" s="47">
        <f t="shared" ca="1" si="14"/>
        <v>2</v>
      </c>
      <c r="H84" s="48" t="s">
        <v>86</v>
      </c>
      <c r="I84" s="48">
        <v>43782</v>
      </c>
      <c r="M84" s="48"/>
      <c r="N84" s="48"/>
    </row>
    <row r="85" spans="1:14" x14ac:dyDescent="0.35">
      <c r="A85" s="47">
        <v>84</v>
      </c>
      <c r="B85" s="47">
        <f t="shared" ca="1" si="10"/>
        <v>73</v>
      </c>
      <c r="C85" s="47">
        <f t="shared" ca="1" si="11"/>
        <v>1</v>
      </c>
      <c r="D85" s="47" t="str">
        <f t="shared" ca="1" si="12"/>
        <v>m</v>
      </c>
      <c r="E85" s="47" t="str">
        <f t="shared" ca="1" si="13"/>
        <v>T3</v>
      </c>
      <c r="F85" s="48">
        <v>43780</v>
      </c>
      <c r="G85" s="47">
        <f t="shared" ca="1" si="14"/>
        <v>2</v>
      </c>
      <c r="H85" s="48">
        <v>44212</v>
      </c>
      <c r="I85" s="48" t="s">
        <v>86</v>
      </c>
      <c r="M85" s="48"/>
      <c r="N85" s="48"/>
    </row>
    <row r="86" spans="1:14" x14ac:dyDescent="0.35">
      <c r="A86" s="47">
        <v>85</v>
      </c>
      <c r="B86" s="47">
        <f t="shared" ca="1" si="10"/>
        <v>47</v>
      </c>
      <c r="C86" s="47">
        <f t="shared" ca="1" si="11"/>
        <v>1</v>
      </c>
      <c r="D86" s="47" t="str">
        <f t="shared" ca="1" si="12"/>
        <v>m</v>
      </c>
      <c r="E86" s="47" t="str">
        <f t="shared" ca="1" si="13"/>
        <v>T1</v>
      </c>
      <c r="F86" s="48">
        <v>43967</v>
      </c>
      <c r="G86" s="47">
        <f t="shared" ca="1" si="14"/>
        <v>2</v>
      </c>
      <c r="H86" s="48" t="s">
        <v>86</v>
      </c>
      <c r="I86" s="48">
        <v>44421</v>
      </c>
      <c r="M86" s="48"/>
      <c r="N86" s="48"/>
    </row>
    <row r="87" spans="1:14" x14ac:dyDescent="0.35">
      <c r="A87" s="47">
        <v>86</v>
      </c>
      <c r="B87" s="47">
        <f t="shared" ca="1" si="10"/>
        <v>51</v>
      </c>
      <c r="C87" s="47">
        <f t="shared" ca="1" si="11"/>
        <v>1</v>
      </c>
      <c r="D87" s="47" t="str">
        <f t="shared" ca="1" si="12"/>
        <v>m</v>
      </c>
      <c r="E87" s="47" t="str">
        <f t="shared" ca="1" si="13"/>
        <v>T3</v>
      </c>
      <c r="F87" s="48">
        <v>43780</v>
      </c>
      <c r="G87" s="47">
        <f t="shared" ca="1" si="14"/>
        <v>2</v>
      </c>
      <c r="H87" s="48">
        <v>44405</v>
      </c>
      <c r="I87" s="48" t="s">
        <v>86</v>
      </c>
      <c r="M87" s="48"/>
      <c r="N87" s="48"/>
    </row>
    <row r="88" spans="1:14" x14ac:dyDescent="0.35">
      <c r="A88" s="47">
        <v>87</v>
      </c>
      <c r="B88" s="47">
        <f t="shared" ca="1" si="10"/>
        <v>40</v>
      </c>
      <c r="C88" s="47">
        <f t="shared" ca="1" si="11"/>
        <v>2</v>
      </c>
      <c r="D88" s="47" t="str">
        <f t="shared" ca="1" si="12"/>
        <v>m</v>
      </c>
      <c r="E88" s="47" t="str">
        <f t="shared" ca="1" si="13"/>
        <v>T4</v>
      </c>
      <c r="F88" s="48">
        <v>43698</v>
      </c>
      <c r="G88" s="47">
        <f t="shared" ca="1" si="14"/>
        <v>3</v>
      </c>
      <c r="H88" s="48" t="s">
        <v>86</v>
      </c>
      <c r="I88" s="48">
        <v>44471</v>
      </c>
      <c r="M88" s="48"/>
      <c r="N88" s="48"/>
    </row>
    <row r="89" spans="1:14" x14ac:dyDescent="0.35">
      <c r="A89" s="47">
        <v>88</v>
      </c>
      <c r="B89" s="47">
        <f t="shared" ca="1" si="10"/>
        <v>49</v>
      </c>
      <c r="C89" s="47">
        <f t="shared" ca="1" si="11"/>
        <v>2</v>
      </c>
      <c r="D89" s="47" t="str">
        <f t="shared" ca="1" si="12"/>
        <v>f</v>
      </c>
      <c r="E89" s="47" t="str">
        <f t="shared" ca="1" si="13"/>
        <v>T4</v>
      </c>
      <c r="F89" s="48">
        <v>44444</v>
      </c>
      <c r="G89" s="47">
        <f t="shared" ca="1" si="14"/>
        <v>0</v>
      </c>
      <c r="H89" s="48" t="s">
        <v>86</v>
      </c>
      <c r="I89" s="48">
        <v>44478</v>
      </c>
      <c r="M89" s="48"/>
      <c r="N89" s="48"/>
    </row>
    <row r="90" spans="1:14" x14ac:dyDescent="0.35">
      <c r="A90" s="47">
        <v>89</v>
      </c>
      <c r="B90" s="47">
        <f t="shared" ca="1" si="10"/>
        <v>63</v>
      </c>
      <c r="C90" s="47">
        <f t="shared" ca="1" si="11"/>
        <v>1</v>
      </c>
      <c r="D90" s="47" t="str">
        <f t="shared" ca="1" si="12"/>
        <v>f</v>
      </c>
      <c r="E90" s="47" t="str">
        <f t="shared" ca="1" si="13"/>
        <v>T0</v>
      </c>
      <c r="F90" s="48">
        <v>43508</v>
      </c>
      <c r="G90" s="47">
        <f t="shared" ca="1" si="14"/>
        <v>3</v>
      </c>
      <c r="H90" s="48">
        <v>44139</v>
      </c>
      <c r="I90" s="48" t="s">
        <v>86</v>
      </c>
      <c r="M90" s="48"/>
      <c r="N90" s="48"/>
    </row>
    <row r="91" spans="1:14" x14ac:dyDescent="0.35">
      <c r="A91" s="47">
        <v>90</v>
      </c>
      <c r="B91" s="47">
        <f t="shared" ca="1" si="10"/>
        <v>69</v>
      </c>
      <c r="C91" s="47">
        <f t="shared" ca="1" si="11"/>
        <v>1</v>
      </c>
      <c r="D91" s="47" t="str">
        <f t="shared" ca="1" si="12"/>
        <v>m</v>
      </c>
      <c r="E91" s="47" t="str">
        <f t="shared" ca="1" si="13"/>
        <v>T0</v>
      </c>
      <c r="F91" s="48">
        <v>44319</v>
      </c>
      <c r="G91" s="47">
        <f t="shared" ca="1" si="14"/>
        <v>1</v>
      </c>
      <c r="H91" s="48" t="s">
        <v>86</v>
      </c>
      <c r="I91" s="48">
        <v>44389</v>
      </c>
      <c r="M91" s="48"/>
      <c r="N91" s="48"/>
    </row>
    <row r="92" spans="1:14" x14ac:dyDescent="0.35">
      <c r="A92" s="47">
        <v>91</v>
      </c>
      <c r="B92" s="47">
        <f t="shared" ca="1" si="10"/>
        <v>70</v>
      </c>
      <c r="C92" s="47">
        <f t="shared" ca="1" si="11"/>
        <v>1</v>
      </c>
      <c r="D92" s="47" t="str">
        <f t="shared" ca="1" si="12"/>
        <v>m</v>
      </c>
      <c r="E92" s="47" t="str">
        <f t="shared" ca="1" si="13"/>
        <v>T4</v>
      </c>
      <c r="F92" s="48">
        <v>44258</v>
      </c>
      <c r="G92" s="47">
        <f t="shared" ca="1" si="14"/>
        <v>3</v>
      </c>
      <c r="H92" s="48" t="s">
        <v>86</v>
      </c>
      <c r="I92" s="48">
        <v>44418</v>
      </c>
      <c r="M92" s="48"/>
      <c r="N92" s="48"/>
    </row>
    <row r="93" spans="1:14" x14ac:dyDescent="0.35">
      <c r="A93" s="47">
        <v>92</v>
      </c>
      <c r="B93" s="47">
        <f t="shared" ca="1" si="10"/>
        <v>59</v>
      </c>
      <c r="C93" s="47">
        <f t="shared" ca="1" si="11"/>
        <v>1</v>
      </c>
      <c r="D93" s="47" t="str">
        <f t="shared" ca="1" si="12"/>
        <v>m</v>
      </c>
      <c r="E93" s="47" t="str">
        <f t="shared" ca="1" si="13"/>
        <v>T1</v>
      </c>
      <c r="F93" s="48">
        <v>44142</v>
      </c>
      <c r="G93" s="47">
        <f t="shared" ca="1" si="14"/>
        <v>4</v>
      </c>
      <c r="H93" s="48" t="s">
        <v>86</v>
      </c>
      <c r="I93" s="48">
        <v>44318</v>
      </c>
      <c r="M93" s="48"/>
      <c r="N93" s="48"/>
    </row>
    <row r="94" spans="1:14" x14ac:dyDescent="0.35">
      <c r="A94" s="47">
        <v>93</v>
      </c>
      <c r="B94" s="47">
        <f t="shared" ca="1" si="10"/>
        <v>40</v>
      </c>
      <c r="C94" s="47">
        <f t="shared" ca="1" si="11"/>
        <v>2</v>
      </c>
      <c r="D94" s="47" t="str">
        <f t="shared" ca="1" si="12"/>
        <v>m</v>
      </c>
      <c r="E94" s="47" t="str">
        <f t="shared" ca="1" si="13"/>
        <v>T0</v>
      </c>
      <c r="F94" s="48">
        <v>44086</v>
      </c>
      <c r="G94" s="47">
        <f t="shared" ca="1" si="14"/>
        <v>1</v>
      </c>
      <c r="H94" s="48" t="s">
        <v>86</v>
      </c>
      <c r="I94" s="48">
        <v>44304</v>
      </c>
      <c r="M94" s="48"/>
      <c r="N94" s="48"/>
    </row>
    <row r="95" spans="1:14" x14ac:dyDescent="0.35">
      <c r="A95" s="47">
        <v>94</v>
      </c>
      <c r="B95" s="47">
        <f t="shared" ca="1" si="10"/>
        <v>76</v>
      </c>
      <c r="C95" s="47">
        <f t="shared" ca="1" si="11"/>
        <v>2</v>
      </c>
      <c r="D95" s="47" t="str">
        <f t="shared" ca="1" si="12"/>
        <v>f</v>
      </c>
      <c r="E95" s="47" t="str">
        <f t="shared" ca="1" si="13"/>
        <v>T3</v>
      </c>
      <c r="F95" s="48">
        <v>44300</v>
      </c>
      <c r="G95" s="47">
        <f t="shared" ca="1" si="14"/>
        <v>4</v>
      </c>
      <c r="H95" s="48" t="s">
        <v>86</v>
      </c>
      <c r="I95" s="48">
        <v>44377</v>
      </c>
      <c r="M95" s="48"/>
      <c r="N95" s="48"/>
    </row>
    <row r="96" spans="1:14" x14ac:dyDescent="0.35">
      <c r="A96" s="47">
        <v>95</v>
      </c>
      <c r="B96" s="47">
        <f t="shared" ca="1" si="10"/>
        <v>85</v>
      </c>
      <c r="C96" s="47">
        <f t="shared" ca="1" si="11"/>
        <v>1</v>
      </c>
      <c r="D96" s="47" t="str">
        <f t="shared" ca="1" si="12"/>
        <v>f</v>
      </c>
      <c r="E96" s="47" t="str">
        <f t="shared" ca="1" si="13"/>
        <v>T0</v>
      </c>
      <c r="F96" s="48">
        <v>44283</v>
      </c>
      <c r="G96" s="47">
        <f t="shared" ca="1" si="14"/>
        <v>5</v>
      </c>
      <c r="H96" s="48" t="s">
        <v>86</v>
      </c>
      <c r="I96" s="48">
        <v>44328</v>
      </c>
      <c r="M96" s="48"/>
      <c r="N96" s="48"/>
    </row>
    <row r="97" spans="1:14" x14ac:dyDescent="0.35">
      <c r="A97" s="47">
        <v>96</v>
      </c>
      <c r="B97" s="47">
        <f t="shared" ca="1" si="10"/>
        <v>54</v>
      </c>
      <c r="C97" s="47">
        <f t="shared" ca="1" si="11"/>
        <v>1</v>
      </c>
      <c r="D97" s="47" t="str">
        <f t="shared" ca="1" si="12"/>
        <v>m</v>
      </c>
      <c r="E97" s="47" t="str">
        <f t="shared" ca="1" si="13"/>
        <v>T2</v>
      </c>
      <c r="F97" s="48">
        <v>43584</v>
      </c>
      <c r="G97" s="47">
        <f t="shared" ca="1" si="14"/>
        <v>1</v>
      </c>
      <c r="H97" s="48" t="s">
        <v>86</v>
      </c>
      <c r="I97" s="48">
        <v>44062</v>
      </c>
      <c r="M97" s="48"/>
      <c r="N97" s="48"/>
    </row>
    <row r="98" spans="1:14" x14ac:dyDescent="0.35">
      <c r="A98" s="47">
        <v>97</v>
      </c>
      <c r="B98" s="47">
        <f t="shared" ref="B98:B109" ca="1" si="15">RANDBETWEEN(40,85)</f>
        <v>74</v>
      </c>
      <c r="C98" s="47">
        <f t="shared" ref="C98:C109" ca="1" si="16">RANDBETWEEN(1,2)</f>
        <v>2</v>
      </c>
      <c r="D98" s="47" t="str">
        <f t="shared" ref="D98:D109" ca="1" si="17">IF(C97=1,"m","f")</f>
        <v>m</v>
      </c>
      <c r="E98" s="47" t="str">
        <f t="shared" ref="E98:E109" ca="1" si="18">CONCATENATE("T",RANDBETWEEN(0,4))</f>
        <v>T3</v>
      </c>
      <c r="F98" s="48">
        <v>43855</v>
      </c>
      <c r="G98" s="47">
        <f t="shared" ref="G98:G109" ca="1" si="19">RANDBETWEEN(0,5)</f>
        <v>5</v>
      </c>
      <c r="H98" s="48" t="s">
        <v>86</v>
      </c>
      <c r="I98" s="48">
        <v>44173</v>
      </c>
      <c r="M98" s="48"/>
      <c r="N98" s="48"/>
    </row>
    <row r="99" spans="1:14" x14ac:dyDescent="0.35">
      <c r="A99" s="47">
        <v>98</v>
      </c>
      <c r="B99" s="47">
        <f t="shared" ca="1" si="15"/>
        <v>47</v>
      </c>
      <c r="C99" s="47">
        <f t="shared" ca="1" si="16"/>
        <v>1</v>
      </c>
      <c r="D99" s="47" t="str">
        <f t="shared" ca="1" si="17"/>
        <v>f</v>
      </c>
      <c r="E99" s="47" t="str">
        <f t="shared" ca="1" si="18"/>
        <v>T0</v>
      </c>
      <c r="F99" s="48">
        <v>43662</v>
      </c>
      <c r="G99" s="47">
        <f t="shared" ca="1" si="19"/>
        <v>2</v>
      </c>
      <c r="H99" s="48">
        <v>44232</v>
      </c>
      <c r="I99" s="48" t="s">
        <v>86</v>
      </c>
      <c r="M99" s="48"/>
      <c r="N99" s="48"/>
    </row>
    <row r="100" spans="1:14" x14ac:dyDescent="0.35">
      <c r="A100" s="47">
        <v>99</v>
      </c>
      <c r="B100" s="47">
        <f t="shared" ca="1" si="15"/>
        <v>83</v>
      </c>
      <c r="C100" s="47">
        <f t="shared" ca="1" si="16"/>
        <v>2</v>
      </c>
      <c r="D100" s="47" t="str">
        <f t="shared" ca="1" si="17"/>
        <v>m</v>
      </c>
      <c r="E100" s="47" t="str">
        <f t="shared" ca="1" si="18"/>
        <v>T3</v>
      </c>
      <c r="F100" s="48">
        <v>43480</v>
      </c>
      <c r="G100" s="47">
        <f t="shared" ca="1" si="19"/>
        <v>5</v>
      </c>
      <c r="H100" s="48" t="s">
        <v>86</v>
      </c>
      <c r="I100" s="48">
        <v>44401</v>
      </c>
      <c r="M100" s="48"/>
      <c r="N100" s="48"/>
    </row>
    <row r="101" spans="1:14" x14ac:dyDescent="0.35">
      <c r="A101" s="47">
        <v>100</v>
      </c>
      <c r="B101" s="47">
        <f t="shared" ca="1" si="15"/>
        <v>62</v>
      </c>
      <c r="C101" s="47">
        <f t="shared" ca="1" si="16"/>
        <v>1</v>
      </c>
      <c r="D101" s="47" t="str">
        <f t="shared" ca="1" si="17"/>
        <v>f</v>
      </c>
      <c r="E101" s="47" t="str">
        <f t="shared" ca="1" si="18"/>
        <v>T3</v>
      </c>
      <c r="F101" s="48">
        <v>44373</v>
      </c>
      <c r="G101" s="47">
        <f t="shared" ca="1" si="19"/>
        <v>5</v>
      </c>
      <c r="H101" s="48">
        <v>44422</v>
      </c>
      <c r="I101" s="48" t="s">
        <v>86</v>
      </c>
      <c r="M101" s="48"/>
      <c r="N101" s="48"/>
    </row>
    <row r="102" spans="1:14" x14ac:dyDescent="0.35">
      <c r="A102" s="47">
        <v>101</v>
      </c>
      <c r="B102" s="47">
        <f t="shared" ca="1" si="15"/>
        <v>74</v>
      </c>
      <c r="C102" s="47">
        <f t="shared" ca="1" si="16"/>
        <v>1</v>
      </c>
      <c r="D102" s="47" t="str">
        <f t="shared" ca="1" si="17"/>
        <v>m</v>
      </c>
      <c r="E102" s="47" t="str">
        <f t="shared" ca="1" si="18"/>
        <v>T2</v>
      </c>
      <c r="F102" s="48">
        <v>43539</v>
      </c>
      <c r="G102" s="47">
        <f t="shared" ca="1" si="19"/>
        <v>4</v>
      </c>
      <c r="H102" s="48" t="s">
        <v>86</v>
      </c>
      <c r="I102" s="48">
        <v>44381</v>
      </c>
      <c r="M102" s="48"/>
      <c r="N102" s="48"/>
    </row>
    <row r="103" spans="1:14" x14ac:dyDescent="0.35">
      <c r="A103" s="47">
        <v>102</v>
      </c>
      <c r="B103" s="47">
        <f t="shared" ca="1" si="15"/>
        <v>50</v>
      </c>
      <c r="C103" s="47">
        <f t="shared" ca="1" si="16"/>
        <v>2</v>
      </c>
      <c r="D103" s="47" t="str">
        <f t="shared" ca="1" si="17"/>
        <v>m</v>
      </c>
      <c r="E103" s="47" t="str">
        <f t="shared" ca="1" si="18"/>
        <v>T0</v>
      </c>
      <c r="F103" s="48">
        <v>43599</v>
      </c>
      <c r="G103" s="47">
        <f t="shared" ca="1" si="19"/>
        <v>3</v>
      </c>
      <c r="H103" s="48">
        <v>44045</v>
      </c>
      <c r="I103" s="48" t="s">
        <v>86</v>
      </c>
      <c r="M103" s="48"/>
      <c r="N103" s="48"/>
    </row>
    <row r="104" spans="1:14" x14ac:dyDescent="0.35">
      <c r="A104" s="47">
        <v>103</v>
      </c>
      <c r="B104" s="47">
        <f t="shared" ca="1" si="15"/>
        <v>65</v>
      </c>
      <c r="C104" s="47">
        <f t="shared" ca="1" si="16"/>
        <v>1</v>
      </c>
      <c r="D104" s="47" t="str">
        <f t="shared" ca="1" si="17"/>
        <v>f</v>
      </c>
      <c r="E104" s="47" t="str">
        <f t="shared" ca="1" si="18"/>
        <v>T0</v>
      </c>
      <c r="F104" s="48">
        <v>43876</v>
      </c>
      <c r="G104" s="47">
        <f t="shared" ca="1" si="19"/>
        <v>1</v>
      </c>
      <c r="H104" s="48" t="s">
        <v>86</v>
      </c>
      <c r="I104" s="48">
        <v>44165</v>
      </c>
      <c r="M104" s="48"/>
      <c r="N104" s="48"/>
    </row>
    <row r="105" spans="1:14" x14ac:dyDescent="0.35">
      <c r="A105" s="47">
        <v>104</v>
      </c>
      <c r="B105" s="47">
        <f t="shared" ca="1" si="15"/>
        <v>54</v>
      </c>
      <c r="C105" s="47">
        <f t="shared" ca="1" si="16"/>
        <v>1</v>
      </c>
      <c r="D105" s="47" t="str">
        <f t="shared" ca="1" si="17"/>
        <v>m</v>
      </c>
      <c r="E105" s="47" t="str">
        <f t="shared" ca="1" si="18"/>
        <v>T2</v>
      </c>
      <c r="F105" s="48">
        <v>44425</v>
      </c>
      <c r="G105" s="47">
        <f t="shared" ca="1" si="19"/>
        <v>1</v>
      </c>
      <c r="H105" s="48">
        <v>44439</v>
      </c>
      <c r="I105" s="48" t="s">
        <v>86</v>
      </c>
      <c r="M105" s="48"/>
      <c r="N105" s="48"/>
    </row>
    <row r="106" spans="1:14" x14ac:dyDescent="0.35">
      <c r="A106" s="47">
        <v>105</v>
      </c>
      <c r="B106" s="47">
        <f t="shared" ca="1" si="15"/>
        <v>71</v>
      </c>
      <c r="C106" s="47">
        <f t="shared" ca="1" si="16"/>
        <v>1</v>
      </c>
      <c r="D106" s="47" t="str">
        <f t="shared" ca="1" si="17"/>
        <v>m</v>
      </c>
      <c r="E106" s="47" t="str">
        <f t="shared" ca="1" si="18"/>
        <v>T1</v>
      </c>
      <c r="F106" s="48">
        <v>44470</v>
      </c>
      <c r="G106" s="47">
        <f t="shared" ca="1" si="19"/>
        <v>0</v>
      </c>
      <c r="H106" s="48">
        <v>44479</v>
      </c>
      <c r="I106" s="48" t="s">
        <v>86</v>
      </c>
      <c r="M106" s="48"/>
      <c r="N106" s="48"/>
    </row>
    <row r="107" spans="1:14" x14ac:dyDescent="0.35">
      <c r="A107" s="47">
        <v>106</v>
      </c>
      <c r="B107" s="47">
        <f t="shared" ca="1" si="15"/>
        <v>76</v>
      </c>
      <c r="C107" s="47">
        <f t="shared" ca="1" si="16"/>
        <v>1</v>
      </c>
      <c r="D107" s="47" t="str">
        <f t="shared" ca="1" si="17"/>
        <v>m</v>
      </c>
      <c r="E107" s="47" t="str">
        <f t="shared" ca="1" si="18"/>
        <v>T3</v>
      </c>
      <c r="F107" s="48">
        <v>43545</v>
      </c>
      <c r="G107" s="47">
        <f t="shared" ca="1" si="19"/>
        <v>1</v>
      </c>
      <c r="H107" s="48">
        <v>43749</v>
      </c>
      <c r="I107" s="48" t="s">
        <v>86</v>
      </c>
      <c r="M107" s="48"/>
      <c r="N107" s="48"/>
    </row>
    <row r="108" spans="1:14" x14ac:dyDescent="0.35">
      <c r="A108" s="47">
        <v>107</v>
      </c>
      <c r="B108" s="47">
        <f t="shared" ca="1" si="15"/>
        <v>82</v>
      </c>
      <c r="C108" s="47">
        <f t="shared" ca="1" si="16"/>
        <v>2</v>
      </c>
      <c r="D108" s="47" t="str">
        <f t="shared" ca="1" si="17"/>
        <v>m</v>
      </c>
      <c r="E108" s="47" t="str">
        <f t="shared" ca="1" si="18"/>
        <v>T1</v>
      </c>
      <c r="F108" s="48">
        <v>43718</v>
      </c>
      <c r="G108" s="47">
        <f t="shared" ca="1" si="19"/>
        <v>0</v>
      </c>
      <c r="H108" s="48" t="s">
        <v>86</v>
      </c>
      <c r="I108" s="48">
        <v>44265</v>
      </c>
      <c r="M108" s="48"/>
      <c r="N108" s="48"/>
    </row>
    <row r="109" spans="1:14" x14ac:dyDescent="0.35">
      <c r="A109" s="47">
        <v>108</v>
      </c>
      <c r="B109" s="47">
        <f t="shared" ca="1" si="15"/>
        <v>67</v>
      </c>
      <c r="C109" s="47">
        <f t="shared" ca="1" si="16"/>
        <v>2</v>
      </c>
      <c r="D109" s="47" t="str">
        <f t="shared" ca="1" si="17"/>
        <v>f</v>
      </c>
      <c r="E109" s="47" t="str">
        <f t="shared" ca="1" si="18"/>
        <v>T0</v>
      </c>
      <c r="F109" s="48">
        <v>43619</v>
      </c>
      <c r="G109" s="47">
        <f t="shared" ca="1" si="19"/>
        <v>1</v>
      </c>
      <c r="H109" s="48">
        <v>44158</v>
      </c>
      <c r="I109" s="48" t="s">
        <v>86</v>
      </c>
      <c r="M109" s="48"/>
      <c r="N109" s="48"/>
    </row>
    <row r="110" spans="1:14" x14ac:dyDescent="0.35">
      <c r="B110" s="47">
        <f ca="1">RANDBETWEEN(40,85)</f>
        <v>63</v>
      </c>
      <c r="C110" s="47">
        <f ca="1">RANDBETWEEN(1,2)</f>
        <v>2</v>
      </c>
      <c r="D110" s="47" t="str">
        <f ca="1">IF(C109=1,"m","f")</f>
        <v>f</v>
      </c>
      <c r="E110" s="47" t="str">
        <f ca="1">CONCATENATE("T",RANDBETWEEN(0,4))</f>
        <v>T2</v>
      </c>
      <c r="F110" s="48">
        <v>0</v>
      </c>
      <c r="G110" s="47">
        <f ca="1">RANDBETWEEN(0,5)</f>
        <v>4</v>
      </c>
      <c r="H110" s="48">
        <v>28029</v>
      </c>
      <c r="I110" s="48" t="s">
        <v>86</v>
      </c>
      <c r="M110" s="48"/>
      <c r="N110" s="48"/>
    </row>
  </sheetData>
  <conditionalFormatting sqref="B3:B110">
    <cfRule type="expression" dxfId="33" priority="1" stopIfTrue="1">
      <formula>LEN(TRIM(B3))=0</formula>
    </cfRule>
    <cfRule type="cellIs" dxfId="32" priority="2" stopIfTrue="1" operator="notBetween">
      <formula>40</formula>
      <formula>110</formula>
    </cfRule>
  </conditionalFormatting>
  <conditionalFormatting sqref="C3:C110">
    <cfRule type="expression" dxfId="31" priority="3" stopIfTrue="1">
      <formula>LEN(TRIM(C3))=0</formula>
    </cfRule>
  </conditionalFormatting>
  <conditionalFormatting sqref="D3:D110">
    <cfRule type="expression" dxfId="30" priority="5" stopIfTrue="1">
      <formula>LEN(TRIM(D3))=0</formula>
    </cfRule>
  </conditionalFormatting>
  <conditionalFormatting sqref="E3:E110">
    <cfRule type="expression" dxfId="29" priority="7" stopIfTrue="1">
      <formula>LEN(TRIM(E3))=0</formula>
    </cfRule>
  </conditionalFormatting>
  <conditionalFormatting sqref="F3:F110">
    <cfRule type="expression" dxfId="28" priority="9" stopIfTrue="1">
      <formula>LEN(TRIM(F3))=0</formula>
    </cfRule>
    <cfRule type="cellIs" dxfId="27" priority="10" stopIfTrue="1" operator="notBetween">
      <formula>43466</formula>
      <formula>TODAY()</formula>
    </cfRule>
    <cfRule type="cellIs" dxfId="26" priority="11" stopIfTrue="1" operator="notBetween">
      <formula>43466</formula>
      <formula>TODAY()</formula>
    </cfRule>
  </conditionalFormatting>
  <conditionalFormatting sqref="G3:G110">
    <cfRule type="expression" dxfId="25" priority="12" stopIfTrue="1">
      <formula>LEN(TRIM(G3))=0</formula>
    </cfRule>
    <cfRule type="cellIs" dxfId="24" priority="13" stopIfTrue="1" operator="notBetween">
      <formula>0</formula>
      <formula>5</formula>
    </cfRule>
  </conditionalFormatting>
  <conditionalFormatting sqref="H3:H110">
    <cfRule type="expression" dxfId="23" priority="14" stopIfTrue="1">
      <formula>LEN(TRIM(H3))=0</formula>
    </cfRule>
    <cfRule type="cellIs" dxfId="22" priority="15" stopIfTrue="1" operator="notBetween">
      <formula>F2</formula>
      <formula>44561</formula>
    </cfRule>
    <cfRule type="cellIs" dxfId="21" priority="16" stopIfTrue="1" operator="notBetween">
      <formula>F2</formula>
      <formula>TODAY()</formula>
    </cfRule>
  </conditionalFormatting>
  <conditionalFormatting sqref="I3:I110">
    <cfRule type="expression" dxfId="20" priority="17" stopIfTrue="1">
      <formula>LEN(TRIM(I3))=0</formula>
    </cfRule>
    <cfRule type="cellIs" dxfId="19" priority="18" stopIfTrue="1" operator="notBetween">
      <formula>F2</formula>
      <formula>44561</formula>
    </cfRule>
    <cfRule type="cellIs" dxfId="18" priority="19" stopIfTrue="1" operator="notBetween">
      <formula>F2</formula>
      <formula>TODAY()</formula>
    </cfRule>
  </conditionalFormatting>
  <dataValidations count="8">
    <dataValidation type="decimal" allowBlank="1" showInputMessage="1" showErrorMessage="1" errorTitle="Numeric" error="Enter an numeric between 40 and 110" promptTitle="Numeric" prompt="Enter an numeric between 40 and 110" sqref="B2:B110" xr:uid="{C66DE44A-99B9-46EE-AAC2-EDF722E728EC}">
      <formula1>40</formula1>
      <formula2>110</formula2>
    </dataValidation>
    <dataValidation type="list" allowBlank="1" showInputMessage="1" showErrorMessage="1" errorTitle="Codes" error="Enter one of the allowed values:1,2" promptTitle="User Defined Codes" prompt="Enter one of the allowed values:1,2" sqref="C2:C110" xr:uid="{B367144F-8CD2-41C1-B76A-6D3E894B0758}">
      <formula1>"1,2"</formula1>
    </dataValidation>
    <dataValidation type="list" allowBlank="1" showInputMessage="1" showErrorMessage="1" errorTitle="Category" error="Enter one of the allowed values:m,f" promptTitle="User Defined Codes" prompt="Enter one of the allowed values:m,f" sqref="D2:D110" xr:uid="{6ED6C08D-FD06-440F-B387-2DB3D65AFA1B}">
      <formula1>"m,f"</formula1>
    </dataValidation>
    <dataValidation type="list" allowBlank="1" showInputMessage="1" showErrorMessage="1" errorTitle="Category" error="Enter one of the allowed values:T0,T1,T2,T3,T4" promptTitle="User Defined Codes" prompt="Enter one of the allowed values:T0,T1,T2,T3,T4" sqref="E2:E110" xr:uid="{7F57AACE-9318-42C6-A5AE-2591CA727085}">
      <formula1>"T0,T1,T2,T3,T4"</formula1>
    </dataValidation>
    <dataValidation type="date" allowBlank="1" showInputMessage="1" showErrorMessage="1" errorTitle="Date" error="Enter an date between 1-Jan-2019 and the current date" promptTitle="Date" prompt="Enter an date between 1-Jan-2019 and the current date" sqref="F2:F110" xr:uid="{6DDD5EF7-C4F6-4675-9F81-233E23755C9E}">
      <formula1>43466</formula1>
      <formula2>TODAY()</formula2>
    </dataValidation>
    <dataValidation type="whole" allowBlank="1" showInputMessage="1" showErrorMessage="1" errorTitle="Integer" error="Enter an integer between 0 and 5" promptTitle="Integer" prompt="Enter an integer between 0 and 5" sqref="G2:G110" xr:uid="{19DF94E4-8656-4B51-927D-02E828EAF6A3}">
      <formula1>0</formula1>
      <formula2>5</formula2>
    </dataValidation>
    <dataValidation type="date" allowBlank="1" showInputMessage="1" showErrorMessage="1" errorTitle="Date" error="Enter an date between DxDate and 31-Dec-2021" promptTitle="Date" prompt="Enter an date between DxDate and 31-Dec-2021" sqref="H3:H110" xr:uid="{4F763F2F-BBBE-4B6E-A956-89F77D6E21C5}">
      <formula1>F2</formula1>
      <formula2>44561</formula2>
    </dataValidation>
    <dataValidation type="date" allowBlank="1" showInputMessage="1" showErrorMessage="1" errorTitle="Date" error="Enter an date between DxDate and 31-Dec-2021" promptTitle="Date" prompt="Enter an date between DxDate and 31-Dec-2021" sqref="I3:I110" xr:uid="{3AAE6316-255D-45A5-8D1D-23AA16B1D8FB}">
      <formula1>F2</formula1>
      <formula2>44561</formula2>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4" stopIfTrue="1" id="{58CC3607-AB6A-42CF-B157-F8498D673D5A}">
            <xm:f>SUM(COUNTIF(C3,DataEntry_codes_!$C$2:$C$3))=0</xm:f>
            <x14:dxf>
              <font>
                <b/>
                <i val="0"/>
                <color indexed="10"/>
              </font>
            </x14:dxf>
          </x14:cfRule>
          <xm:sqref>C3:C110</xm:sqref>
        </x14:conditionalFormatting>
        <x14:conditionalFormatting xmlns:xm="http://schemas.microsoft.com/office/excel/2006/main">
          <x14:cfRule type="expression" priority="6" stopIfTrue="1" id="{91A1DFE8-1000-4C4A-9E72-384AEDB1C6F2}">
            <xm:f>SUM(COUNTIF(D3,DataEntry_codes_!$D$2:$D$3))=0</xm:f>
            <x14:dxf>
              <font>
                <b/>
                <i val="0"/>
                <color indexed="10"/>
              </font>
            </x14:dxf>
          </x14:cfRule>
          <xm:sqref>D3:D110</xm:sqref>
        </x14:conditionalFormatting>
        <x14:conditionalFormatting xmlns:xm="http://schemas.microsoft.com/office/excel/2006/main">
          <x14:cfRule type="expression" priority="8" stopIfTrue="1" id="{0F9F913C-4089-46B7-A010-8C2A65E7D6E0}">
            <xm:f>SUM(COUNTIF(E3,DataEntry_codes_!$E$2:$E$6))=0</xm:f>
            <x14:dxf>
              <font>
                <b/>
                <i val="0"/>
                <color indexed="10"/>
              </font>
            </x14:dxf>
          </x14:cfRule>
          <xm:sqref>E3:E110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35"/>
  <sheetViews>
    <sheetView tabSelected="1" zoomScale="95" zoomScaleNormal="95" workbookViewId="0"/>
  </sheetViews>
  <sheetFormatPr defaultColWidth="8.81640625" defaultRowHeight="14.5" x14ac:dyDescent="0.35"/>
  <cols>
    <col min="1" max="1" width="13.1796875" style="34" bestFit="1" customWidth="1"/>
    <col min="2" max="2" width="31.36328125" style="34" bestFit="1" customWidth="1"/>
    <col min="3" max="3" width="9.453125" style="34" bestFit="1" customWidth="1"/>
    <col min="4" max="4" width="10.81640625" style="34" bestFit="1" customWidth="1"/>
    <col min="5" max="5" width="11.1796875" style="34" bestFit="1" customWidth="1"/>
    <col min="6" max="6" width="16.453125" style="34" bestFit="1" customWidth="1"/>
    <col min="7" max="7" width="10.6328125" style="26" customWidth="1"/>
    <col min="8" max="8" width="110.4531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row>
    <row r="2" spans="1:9" x14ac:dyDescent="0.35">
      <c r="A2" s="14" t="s">
        <v>12</v>
      </c>
      <c r="B2" s="15" t="s">
        <v>13</v>
      </c>
      <c r="C2" s="14" t="s">
        <v>14</v>
      </c>
      <c r="D2" s="19"/>
      <c r="E2" s="19"/>
      <c r="F2" s="14"/>
    </row>
    <row r="3" spans="1:9" x14ac:dyDescent="0.35">
      <c r="A3" s="14" t="s">
        <v>6</v>
      </c>
      <c r="B3" s="15" t="s">
        <v>7</v>
      </c>
      <c r="C3" s="14" t="s">
        <v>8</v>
      </c>
      <c r="D3" s="19">
        <v>40</v>
      </c>
      <c r="E3" s="19">
        <v>110</v>
      </c>
      <c r="F3" s="14"/>
    </row>
    <row r="4" spans="1:9" x14ac:dyDescent="0.35">
      <c r="A4" s="14" t="s">
        <v>9</v>
      </c>
      <c r="B4" s="15" t="s">
        <v>10</v>
      </c>
      <c r="C4" s="14" t="s">
        <v>20</v>
      </c>
      <c r="D4" s="19"/>
      <c r="E4" s="19"/>
      <c r="F4" s="14" t="s">
        <v>32</v>
      </c>
      <c r="G4" s="51" t="s">
        <v>49</v>
      </c>
      <c r="H4" s="50"/>
      <c r="I4" s="32"/>
    </row>
    <row r="5" spans="1:9" x14ac:dyDescent="0.35">
      <c r="A5" s="14" t="s">
        <v>21</v>
      </c>
      <c r="B5" s="15" t="s">
        <v>22</v>
      </c>
      <c r="C5" s="14" t="s">
        <v>11</v>
      </c>
      <c r="D5" s="19"/>
      <c r="E5" s="19"/>
      <c r="F5" s="14" t="s">
        <v>34</v>
      </c>
      <c r="G5" s="39" t="s">
        <v>62</v>
      </c>
      <c r="H5" s="38"/>
      <c r="I5" s="32"/>
    </row>
    <row r="6" spans="1:9" x14ac:dyDescent="0.35">
      <c r="A6" s="14" t="s">
        <v>30</v>
      </c>
      <c r="B6" s="15"/>
      <c r="C6" s="14" t="s">
        <v>11</v>
      </c>
      <c r="D6" s="19"/>
      <c r="E6" s="19"/>
      <c r="F6" s="14" t="s">
        <v>31</v>
      </c>
      <c r="G6" s="52" t="s">
        <v>50</v>
      </c>
      <c r="H6" s="53"/>
      <c r="I6" s="32"/>
    </row>
    <row r="7" spans="1:9" x14ac:dyDescent="0.35">
      <c r="A7" s="14" t="s">
        <v>18</v>
      </c>
      <c r="B7" s="15" t="s">
        <v>19</v>
      </c>
      <c r="C7" s="14" t="s">
        <v>15</v>
      </c>
      <c r="D7" s="20">
        <v>43466</v>
      </c>
      <c r="E7" s="20" t="s">
        <v>42</v>
      </c>
      <c r="F7" s="14"/>
      <c r="G7" s="49" t="s">
        <v>58</v>
      </c>
      <c r="H7" s="50"/>
      <c r="I7" s="32"/>
    </row>
    <row r="8" spans="1:9" x14ac:dyDescent="0.35">
      <c r="A8" s="14" t="s">
        <v>16</v>
      </c>
      <c r="B8" s="15"/>
      <c r="C8" s="14" t="s">
        <v>17</v>
      </c>
      <c r="D8" s="19">
        <v>0</v>
      </c>
      <c r="E8" s="19">
        <v>5</v>
      </c>
      <c r="F8" s="14"/>
      <c r="G8" s="49" t="s">
        <v>59</v>
      </c>
      <c r="H8" s="50"/>
      <c r="I8" s="32"/>
    </row>
    <row r="9" spans="1:9" x14ac:dyDescent="0.35">
      <c r="A9" s="14" t="s">
        <v>25</v>
      </c>
      <c r="B9" s="15" t="s">
        <v>26</v>
      </c>
      <c r="C9" s="14" t="s">
        <v>15</v>
      </c>
      <c r="D9" s="20" t="s">
        <v>18</v>
      </c>
      <c r="E9" s="20">
        <v>44561</v>
      </c>
      <c r="F9" s="14"/>
      <c r="G9" s="49" t="s">
        <v>60</v>
      </c>
      <c r="H9" s="50"/>
      <c r="I9" s="32"/>
    </row>
    <row r="10" spans="1:9" x14ac:dyDescent="0.35">
      <c r="A10" s="14" t="s">
        <v>28</v>
      </c>
      <c r="B10" s="15" t="s">
        <v>29</v>
      </c>
      <c r="C10" s="14" t="s">
        <v>15</v>
      </c>
      <c r="D10" s="20" t="s">
        <v>18</v>
      </c>
      <c r="E10" s="20">
        <v>44561</v>
      </c>
      <c r="F10" s="14"/>
      <c r="G10" s="49" t="s">
        <v>61</v>
      </c>
      <c r="H10" s="50"/>
      <c r="I10" s="32"/>
    </row>
    <row r="11" spans="1:9" ht="43.5" x14ac:dyDescent="0.35">
      <c r="A11" s="14" t="s">
        <v>24</v>
      </c>
      <c r="B11" s="15" t="s">
        <v>27</v>
      </c>
      <c r="C11" s="14" t="s">
        <v>23</v>
      </c>
      <c r="D11" s="19"/>
      <c r="E11" s="19"/>
      <c r="F11" s="15" t="s">
        <v>81</v>
      </c>
      <c r="G11" s="49" t="s">
        <v>51</v>
      </c>
      <c r="H11" s="50"/>
      <c r="I11" s="32"/>
    </row>
    <row r="12" spans="1:9" x14ac:dyDescent="0.35">
      <c r="A12" s="30" t="s">
        <v>68</v>
      </c>
      <c r="B12" s="28" t="s">
        <v>67</v>
      </c>
      <c r="C12" s="14" t="s">
        <v>23</v>
      </c>
      <c r="D12" s="29"/>
      <c r="E12" s="33"/>
      <c r="F12" s="30" t="s">
        <v>69</v>
      </c>
      <c r="G12" s="49" t="s">
        <v>52</v>
      </c>
      <c r="H12" s="50"/>
      <c r="I12" s="32"/>
    </row>
    <row r="13" spans="1:9" x14ac:dyDescent="0.35">
      <c r="A13" s="30" t="s">
        <v>82</v>
      </c>
      <c r="B13" s="28" t="s">
        <v>83</v>
      </c>
      <c r="C13" s="14" t="s">
        <v>23</v>
      </c>
      <c r="D13" s="29"/>
      <c r="E13" s="33"/>
      <c r="F13" s="14" t="s">
        <v>85</v>
      </c>
      <c r="G13" s="54" t="s">
        <v>53</v>
      </c>
      <c r="H13" s="50"/>
      <c r="I13" s="32"/>
    </row>
    <row r="14" spans="1:9" x14ac:dyDescent="0.35">
      <c r="A14" s="30"/>
      <c r="B14" s="28"/>
      <c r="C14" s="30"/>
      <c r="D14" s="31"/>
      <c r="E14" s="31"/>
      <c r="F14" s="30"/>
      <c r="G14" s="49" t="s">
        <v>54</v>
      </c>
      <c r="H14" s="50"/>
    </row>
    <row r="15" spans="1:9" x14ac:dyDescent="0.35">
      <c r="A15" s="30"/>
      <c r="B15" s="28"/>
      <c r="C15" s="30"/>
      <c r="D15" s="31"/>
      <c r="E15" s="31"/>
      <c r="F15" s="30"/>
      <c r="G15" s="49" t="s">
        <v>55</v>
      </c>
      <c r="H15" s="50"/>
    </row>
    <row r="16" spans="1:9" x14ac:dyDescent="0.35">
      <c r="A16" s="30"/>
      <c r="B16" s="30"/>
      <c r="C16" s="30"/>
      <c r="D16" s="31"/>
      <c r="E16" s="31"/>
      <c r="F16" s="30"/>
      <c r="G16" s="49" t="s">
        <v>56</v>
      </c>
      <c r="H16" s="50"/>
    </row>
    <row r="17" spans="1:9" x14ac:dyDescent="0.35">
      <c r="A17" s="30"/>
      <c r="B17" s="30"/>
      <c r="C17" s="30"/>
      <c r="D17" s="31"/>
      <c r="E17" s="31"/>
      <c r="F17" s="30"/>
      <c r="G17" s="49" t="s">
        <v>57</v>
      </c>
      <c r="H17" s="50"/>
      <c r="I17" s="2"/>
    </row>
    <row r="18" spans="1:9" x14ac:dyDescent="0.35">
      <c r="D18" s="35"/>
      <c r="E18" s="35"/>
      <c r="G18" s="13" t="s">
        <v>41</v>
      </c>
      <c r="H18" s="10"/>
    </row>
    <row r="19" spans="1:9" x14ac:dyDescent="0.35">
      <c r="D19" s="35"/>
      <c r="E19" s="35"/>
      <c r="G19" s="36" t="s">
        <v>23</v>
      </c>
      <c r="H19" s="25" t="s">
        <v>63</v>
      </c>
    </row>
    <row r="20" spans="1:9" x14ac:dyDescent="0.35">
      <c r="D20" s="35"/>
      <c r="E20" s="35"/>
      <c r="G20" s="36" t="s">
        <v>11</v>
      </c>
      <c r="H20" s="25" t="s">
        <v>36</v>
      </c>
      <c r="I20" s="7"/>
    </row>
    <row r="21" spans="1:9" x14ac:dyDescent="0.35">
      <c r="D21" s="35"/>
      <c r="E21" s="35"/>
      <c r="G21" s="36" t="s">
        <v>14</v>
      </c>
      <c r="H21" s="25" t="s">
        <v>37</v>
      </c>
      <c r="I21" s="27"/>
    </row>
    <row r="22" spans="1:9" x14ac:dyDescent="0.35">
      <c r="D22" s="35"/>
      <c r="E22" s="35"/>
      <c r="G22" s="36" t="s">
        <v>20</v>
      </c>
      <c r="H22" s="25" t="s">
        <v>38</v>
      </c>
    </row>
    <row r="23" spans="1:9" x14ac:dyDescent="0.35">
      <c r="D23" s="35"/>
      <c r="E23" s="35"/>
      <c r="G23" s="36" t="s">
        <v>15</v>
      </c>
      <c r="H23" s="25" t="s">
        <v>43</v>
      </c>
      <c r="I23" s="6"/>
    </row>
    <row r="24" spans="1:9" x14ac:dyDescent="0.35">
      <c r="D24" s="35"/>
      <c r="E24" s="35"/>
      <c r="G24" s="36" t="s">
        <v>17</v>
      </c>
      <c r="H24" s="25" t="s">
        <v>39</v>
      </c>
      <c r="I24" s="27"/>
    </row>
    <row r="25" spans="1:9" x14ac:dyDescent="0.35">
      <c r="D25" s="35"/>
      <c r="E25" s="35"/>
      <c r="G25" s="36" t="s">
        <v>8</v>
      </c>
      <c r="H25" s="25" t="s">
        <v>40</v>
      </c>
      <c r="I25" s="27"/>
    </row>
    <row r="26" spans="1:9" x14ac:dyDescent="0.35">
      <c r="G26" s="22" t="s">
        <v>5</v>
      </c>
      <c r="H26" s="37"/>
    </row>
    <row r="27" spans="1:9" x14ac:dyDescent="0.35">
      <c r="G27" s="23" t="s">
        <v>44</v>
      </c>
      <c r="H27" s="37"/>
    </row>
    <row r="28" spans="1:9" x14ac:dyDescent="0.35">
      <c r="G28" s="24" t="s">
        <v>45</v>
      </c>
      <c r="H28" s="37"/>
    </row>
    <row r="29" spans="1:9" x14ac:dyDescent="0.35">
      <c r="G29" s="23" t="s">
        <v>46</v>
      </c>
      <c r="H29" s="37"/>
    </row>
    <row r="30" spans="1:9" x14ac:dyDescent="0.35">
      <c r="G30" s="23" t="s">
        <v>48</v>
      </c>
      <c r="H30" s="37"/>
    </row>
    <row r="31" spans="1:9" x14ac:dyDescent="0.35">
      <c r="G31" s="55" t="s">
        <v>88</v>
      </c>
      <c r="H31" s="37"/>
    </row>
    <row r="32" spans="1:9" x14ac:dyDescent="0.35">
      <c r="G32" s="43" t="s">
        <v>47</v>
      </c>
      <c r="H32" s="37"/>
    </row>
    <row r="33" spans="7:8" x14ac:dyDescent="0.35">
      <c r="G33" s="40" t="s">
        <v>64</v>
      </c>
      <c r="H33" s="44" t="s">
        <v>72</v>
      </c>
    </row>
    <row r="34" spans="7:8" ht="58" x14ac:dyDescent="0.35">
      <c r="G34" s="41" t="s">
        <v>65</v>
      </c>
      <c r="H34" s="42" t="s">
        <v>70</v>
      </c>
    </row>
    <row r="35" spans="7:8" ht="43.5" x14ac:dyDescent="0.35">
      <c r="G35" s="41" t="s">
        <v>66</v>
      </c>
      <c r="H35" s="42" t="s">
        <v>71</v>
      </c>
    </row>
  </sheetData>
  <mergeCells count="13">
    <mergeCell ref="G14:H14"/>
    <mergeCell ref="G15:H15"/>
    <mergeCell ref="G16:H16"/>
    <mergeCell ref="G17:H17"/>
    <mergeCell ref="G4:H4"/>
    <mergeCell ref="G8:H8"/>
    <mergeCell ref="G10:H10"/>
    <mergeCell ref="G6:H6"/>
    <mergeCell ref="G7:H7"/>
    <mergeCell ref="G9:H9"/>
    <mergeCell ref="G11:H11"/>
    <mergeCell ref="G12:H12"/>
    <mergeCell ref="G13:H13"/>
  </mergeCells>
  <dataValidations count="2">
    <dataValidation type="list" allowBlank="1" showInputMessage="1" showErrorMessage="1" sqref="C1 C13:C1048576" xr:uid="{9F55DEEC-0C40-4BE6-BF16-3F509741CBF5}">
      <formula1>$G$19:$G$25</formula1>
    </dataValidation>
    <dataValidation type="list" allowBlank="1" showInputMessage="1" showErrorMessage="1" sqref="C2:C9 C11:C12" xr:uid="{E696B47C-9550-4A34-BF4C-16B1A0B49555}">
      <formula1>$H$15:$H$21</formula1>
    </dataValidation>
  </dataValidations>
  <hyperlinks>
    <hyperlink ref="G5" r:id="rId1" xr:uid="{6A0F3698-118F-4D60-BCA9-3832BD02E04C}"/>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from>
                    <xdr:col>6</xdr:col>
                    <xdr:colOff>76200</xdr:colOff>
                    <xdr:row>0</xdr:row>
                    <xdr:rowOff>76200</xdr:rowOff>
                  </from>
                  <to>
                    <xdr:col>7</xdr:col>
                    <xdr:colOff>1130300</xdr:colOff>
                    <xdr:row>2</xdr:row>
                    <xdr:rowOff>76200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from>
                    <xdr:col>7</xdr:col>
                    <xdr:colOff>1155700</xdr:colOff>
                    <xdr:row>0</xdr:row>
                    <xdr:rowOff>76200</xdr:rowOff>
                  </from>
                  <to>
                    <xdr:col>7</xdr:col>
                    <xdr:colOff>2870200</xdr:colOff>
                    <xdr:row>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Example</vt:lpstr>
      <vt:lpstr>DataEntry_codes_</vt:lpstr>
      <vt:lpstr>DataEntry</vt:lpstr>
      <vt:lpstr>DataDictionary</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2021-10-12T23:39:20Z</dcterms:modified>
</cp:coreProperties>
</file>